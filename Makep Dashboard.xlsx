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19.xml" ContentType="application/vnd.openxmlformats-officedocument.drawingml.chart+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charts/chart21.xml" ContentType="application/vnd.openxmlformats-officedocument.drawingml.chart+xml"/>
  <Override PartName="/xl/charts/style18.xml" ContentType="application/vnd.ms-office.chartstyle+xml"/>
  <Override PartName="/xl/charts/colors18.xml" ContentType="application/vnd.ms-office.chartcolorstyle+xml"/>
  <Override PartName="/xl/charts/chart22.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23.xml" ContentType="application/vnd.openxmlformats-officedocument.drawingml.chart+xml"/>
  <Override PartName="/xl/charts/style20.xml" ContentType="application/vnd.ms-office.chartstyle+xml"/>
  <Override PartName="/xl/charts/colors20.xml" ContentType="application/vnd.ms-office.chartcolorstyle+xml"/>
  <Override PartName="/xl/charts/chart24.xml" ContentType="application/vnd.openxmlformats-officedocument.drawingml.chart+xml"/>
  <Override PartName="/xl/charts/style21.xml" ContentType="application/vnd.ms-office.chartstyle+xml"/>
  <Override PartName="/xl/charts/colors21.xml" ContentType="application/vnd.ms-office.chartcolorstyle+xml"/>
  <Override PartName="/xl/charts/chart25.xml" ContentType="application/vnd.openxmlformats-officedocument.drawingml.chart+xml"/>
  <Override PartName="/xl/charts/style22.xml" ContentType="application/vnd.ms-office.chartstyle+xml"/>
  <Override PartName="/xl/charts/colors22.xml" ContentType="application/vnd.ms-office.chartcolorstyle+xml"/>
  <Override PartName="/xl/charts/chart26.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eaa010781a0a2c65/Desktop/"/>
    </mc:Choice>
  </mc:AlternateContent>
  <xr:revisionPtr revIDLastSave="3" documentId="13_ncr:1_{D5B4B674-C75E-4605-BA42-EB4861B42A0A}" xr6:coauthVersionLast="47" xr6:coauthVersionMax="47" xr10:uidLastSave="{096040B2-7124-4299-A27F-DF847E0AF218}"/>
  <bookViews>
    <workbookView xWindow="-108" yWindow="-108" windowWidth="23256" windowHeight="12456" firstSheet="1" activeTab="5" xr2:uid="{91921FE7-214B-43D5-9867-461E06336DB4}"/>
  </bookViews>
  <sheets>
    <sheet name="pivot table" sheetId="6" r:id="rId1"/>
    <sheet name="data" sheetId="1" r:id="rId2"/>
    <sheet name="Dashboard" sheetId="4" r:id="rId3"/>
    <sheet name="Product Analysis" sheetId="5" r:id="rId4"/>
    <sheet name="Sales Performance Analysis" sheetId="7" r:id="rId5"/>
    <sheet name="Insights &amp; Recommendations" sheetId="8" r:id="rId6"/>
  </sheets>
  <definedNames>
    <definedName name="NativeTimeline_Date">#N/A</definedName>
    <definedName name="Slicer_Country">#N/A</definedName>
    <definedName name="Slicer_Sales_Channel">#N/A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1" i="6" l="1"/>
  <c r="AC7" i="6"/>
  <c r="AB15" i="6"/>
</calcChain>
</file>

<file path=xl/sharedStrings.xml><?xml version="1.0" encoding="utf-8"?>
<sst xmlns="http://schemas.openxmlformats.org/spreadsheetml/2006/main" count="2669" uniqueCount="81">
  <si>
    <t>Sale_ID</t>
  </si>
  <si>
    <t>Date</t>
  </si>
  <si>
    <t>Brand</t>
  </si>
  <si>
    <t>Product_Type</t>
  </si>
  <si>
    <t>Country</t>
  </si>
  <si>
    <t>Sales_Channel</t>
  </si>
  <si>
    <t>Payment_Method</t>
  </si>
  <si>
    <t>Price_USD</t>
  </si>
  <si>
    <t>Units_Sold</t>
  </si>
  <si>
    <t>Revenue_USD</t>
  </si>
  <si>
    <t>Fenty Beauty</t>
  </si>
  <si>
    <t>Eyeliner</t>
  </si>
  <si>
    <t>UAE</t>
  </si>
  <si>
    <t>Retail Store</t>
  </si>
  <si>
    <t>Digital Wallet</t>
  </si>
  <si>
    <t>L'Oreal</t>
  </si>
  <si>
    <t>Highlighter</t>
  </si>
  <si>
    <t>USA</t>
  </si>
  <si>
    <t>Online</t>
  </si>
  <si>
    <t>Cash</t>
  </si>
  <si>
    <t>Maybelline</t>
  </si>
  <si>
    <t>Germany</t>
  </si>
  <si>
    <t>Card</t>
  </si>
  <si>
    <t>MAC</t>
  </si>
  <si>
    <t>France</t>
  </si>
  <si>
    <t>Mall</t>
  </si>
  <si>
    <t>Lipstick</t>
  </si>
  <si>
    <t>Estee Lauder</t>
  </si>
  <si>
    <t>Dior</t>
  </si>
  <si>
    <t>UK</t>
  </si>
  <si>
    <t>Huda Beauty</t>
  </si>
  <si>
    <t>Concealer</t>
  </si>
  <si>
    <t>Saudi Arabia</t>
  </si>
  <si>
    <t>Beauty Salon</t>
  </si>
  <si>
    <t>India</t>
  </si>
  <si>
    <t>NARS</t>
  </si>
  <si>
    <t>Blush</t>
  </si>
  <si>
    <t>Mascara</t>
  </si>
  <si>
    <t>Eyeshadow</t>
  </si>
  <si>
    <t>Canada</t>
  </si>
  <si>
    <t>Foundation</t>
  </si>
  <si>
    <t>u</t>
  </si>
  <si>
    <t>Row Labels</t>
  </si>
  <si>
    <t>Grand Total</t>
  </si>
  <si>
    <t>Jan</t>
  </si>
  <si>
    <t>Feb</t>
  </si>
  <si>
    <t>Mar</t>
  </si>
  <si>
    <t>Apr</t>
  </si>
  <si>
    <t>May</t>
  </si>
  <si>
    <t>Jun</t>
  </si>
  <si>
    <t>Jul</t>
  </si>
  <si>
    <t>Aug</t>
  </si>
  <si>
    <t>Sep</t>
  </si>
  <si>
    <t>Oct</t>
  </si>
  <si>
    <t>Nov</t>
  </si>
  <si>
    <t>Dec</t>
  </si>
  <si>
    <t>Sum of Revenue_USD</t>
  </si>
  <si>
    <t>Sales Trends over time</t>
  </si>
  <si>
    <t xml:space="preserve"> Time line</t>
  </si>
  <si>
    <t>Top Performing brands by revenue</t>
  </si>
  <si>
    <t>Revenue distribtion by product</t>
  </si>
  <si>
    <t>Sales by channel</t>
  </si>
  <si>
    <t>Revenye by contry</t>
  </si>
  <si>
    <t>KPI'S</t>
  </si>
  <si>
    <t>Total Revenue</t>
  </si>
  <si>
    <t>Count of Sale_ID</t>
  </si>
  <si>
    <t>Totals Orders</t>
  </si>
  <si>
    <t>Average Order Value</t>
  </si>
  <si>
    <t>Slicers</t>
  </si>
  <si>
    <t>Dashbord 2</t>
  </si>
  <si>
    <t>Top Selling brands</t>
  </si>
  <si>
    <t>top performing brands</t>
  </si>
  <si>
    <t>Sum of Units_Sold</t>
  </si>
  <si>
    <t>sales by channel</t>
  </si>
  <si>
    <t>revenue contricution by product</t>
  </si>
  <si>
    <t>Dashbord 3</t>
  </si>
  <si>
    <t>Revenue By payment method</t>
  </si>
  <si>
    <t>Revene by contry</t>
  </si>
  <si>
    <t>Unit sold by payment method</t>
  </si>
  <si>
    <t>unit sold by brand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</si>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</sst>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4"/>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CCCC"/>
      <color rgb="FF3167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8.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1.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2.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3.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4.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5.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6.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[Makep Dashboard.xlsx]pivot table!PivotTable19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General</c:formatCode>
                <c:ptCount val="12"/>
                <c:pt idx="0">
                  <c:v>63184.049999999996</c:v>
                </c:pt>
                <c:pt idx="1">
                  <c:v>41654.670000000006</c:v>
                </c:pt>
                <c:pt idx="2">
                  <c:v>71169.11</c:v>
                </c:pt>
                <c:pt idx="3">
                  <c:v>67298.709999999992</c:v>
                </c:pt>
                <c:pt idx="4">
                  <c:v>69506.680000000008</c:v>
                </c:pt>
                <c:pt idx="5">
                  <c:v>98829.22</c:v>
                </c:pt>
                <c:pt idx="6">
                  <c:v>60675.030000000006</c:v>
                </c:pt>
                <c:pt idx="7">
                  <c:v>83296.77</c:v>
                </c:pt>
                <c:pt idx="8">
                  <c:v>54373.64</c:v>
                </c:pt>
                <c:pt idx="9">
                  <c:v>53388.290000000008</c:v>
                </c:pt>
                <c:pt idx="10">
                  <c:v>67251.709999999992</c:v>
                </c:pt>
                <c:pt idx="11">
                  <c:v>62560.62</c:v>
                </c:pt>
              </c:numCache>
            </c:numRef>
          </c:val>
          <c:smooth val="0"/>
          <c:extLst>
            <c:ext xmlns:c16="http://schemas.microsoft.com/office/drawing/2014/chart" uri="{C3380CC4-5D6E-409C-BE32-E72D297353CC}">
              <c16:uniqueId val="{00000000-7838-4013-9C1B-16C49B4EF06B}"/>
            </c:ext>
          </c:extLst>
        </c:ser>
        <c:dLbls>
          <c:showLegendKey val="0"/>
          <c:showVal val="0"/>
          <c:showCatName val="0"/>
          <c:showSerName val="0"/>
          <c:showPercent val="0"/>
          <c:showBubbleSize val="0"/>
        </c:dLbls>
        <c:smooth val="0"/>
        <c:axId val="106641872"/>
        <c:axId val="106650512"/>
      </c:lineChart>
      <c:catAx>
        <c:axId val="10664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50512"/>
        <c:crosses val="autoZero"/>
        <c:auto val="1"/>
        <c:lblAlgn val="ctr"/>
        <c:lblOffset val="100"/>
        <c:noMultiLvlLbl val="0"/>
      </c:catAx>
      <c:valAx>
        <c:axId val="10665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4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[Makep Dashboard.xlsx]pivot table!PivotTable1</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table'!$H$12</c:f>
              <c:strCache>
                <c:ptCount val="1"/>
                <c:pt idx="0">
                  <c:v>Total</c:v>
                </c:pt>
              </c:strCache>
            </c:strRef>
          </c:tx>
          <c:spPr>
            <a:solidFill>
              <a:schemeClr val="accent1"/>
            </a:solidFill>
            <a:ln>
              <a:noFill/>
            </a:ln>
            <a:effectLst/>
          </c:spPr>
          <c:invertIfNegative val="0"/>
          <c:cat>
            <c:strRef>
              <c:f>'pivot table'!$G$13:$G$21</c:f>
              <c:strCache>
                <c:ptCount val="8"/>
                <c:pt idx="0">
                  <c:v>Dior</c:v>
                </c:pt>
                <c:pt idx="1">
                  <c:v>Estee Lauder</c:v>
                </c:pt>
                <c:pt idx="2">
                  <c:v>Fenty Beauty</c:v>
                </c:pt>
                <c:pt idx="3">
                  <c:v>Huda Beauty</c:v>
                </c:pt>
                <c:pt idx="4">
                  <c:v>L'Oreal</c:v>
                </c:pt>
                <c:pt idx="5">
                  <c:v>MAC</c:v>
                </c:pt>
                <c:pt idx="6">
                  <c:v>Maybelline</c:v>
                </c:pt>
                <c:pt idx="7">
                  <c:v>NARS</c:v>
                </c:pt>
              </c:strCache>
            </c:strRef>
          </c:cat>
          <c:val>
            <c:numRef>
              <c:f>'pivot table'!$H$13:$H$21</c:f>
              <c:numCache>
                <c:formatCode>General</c:formatCode>
                <c:ptCount val="8"/>
                <c:pt idx="0">
                  <c:v>99810.989999999991</c:v>
                </c:pt>
                <c:pt idx="1">
                  <c:v>86983.48</c:v>
                </c:pt>
                <c:pt idx="2">
                  <c:v>95001.670000000056</c:v>
                </c:pt>
                <c:pt idx="3">
                  <c:v>76357.170000000013</c:v>
                </c:pt>
                <c:pt idx="4">
                  <c:v>123593.2</c:v>
                </c:pt>
                <c:pt idx="5">
                  <c:v>155245.81000000006</c:v>
                </c:pt>
                <c:pt idx="6">
                  <c:v>67403.560000000012</c:v>
                </c:pt>
                <c:pt idx="7">
                  <c:v>88792.62000000001</c:v>
                </c:pt>
              </c:numCache>
            </c:numRef>
          </c:val>
          <c:extLst>
            <c:ext xmlns:c16="http://schemas.microsoft.com/office/drawing/2014/chart" uri="{C3380CC4-5D6E-409C-BE32-E72D297353CC}">
              <c16:uniqueId val="{00000000-9BA9-4701-AF1E-B5CB10B55CB7}"/>
            </c:ext>
          </c:extLst>
        </c:ser>
        <c:dLbls>
          <c:showLegendKey val="0"/>
          <c:showVal val="0"/>
          <c:showCatName val="0"/>
          <c:showSerName val="0"/>
          <c:showPercent val="0"/>
          <c:showBubbleSize val="0"/>
        </c:dLbls>
        <c:gapWidth val="182"/>
        <c:axId val="656878048"/>
        <c:axId val="656883328"/>
      </c:barChart>
      <c:catAx>
        <c:axId val="656878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883328"/>
        <c:crosses val="autoZero"/>
        <c:auto val="1"/>
        <c:lblAlgn val="ctr"/>
        <c:lblOffset val="100"/>
        <c:noMultiLvlLbl val="0"/>
      </c:catAx>
      <c:valAx>
        <c:axId val="656883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87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[Makep Dashboard.xlsx]pivot table!PivotTable2</c:name>
    <c:fmtId val="15"/>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ofPieChart>
        <c:ofPieType val="bar"/>
        <c:varyColors val="1"/>
        <c:ser>
          <c:idx val="0"/>
          <c:order val="0"/>
          <c:tx>
            <c:strRef>
              <c:f>'pivot table'!$M$7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D6C-4C01-8410-B8F8FA7ED4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D6C-4C01-8410-B8F8FA7ED41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D6C-4C01-8410-B8F8FA7ED41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D6C-4C01-8410-B8F8FA7ED41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D6C-4C01-8410-B8F8FA7ED41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D6C-4C01-8410-B8F8FA7ED41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D6C-4C01-8410-B8F8FA7ED41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D6C-4C01-8410-B8F8FA7ED41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D6C-4C01-8410-B8F8FA7ED41B}"/>
              </c:ext>
            </c:extLst>
          </c:dPt>
          <c:cat>
            <c:strRef>
              <c:f>'pivot table'!$L$8:$L$16</c:f>
              <c:strCache>
                <c:ptCount val="8"/>
                <c:pt idx="0">
                  <c:v>Blush</c:v>
                </c:pt>
                <c:pt idx="1">
                  <c:v>Concealer</c:v>
                </c:pt>
                <c:pt idx="2">
                  <c:v>Eyeliner</c:v>
                </c:pt>
                <c:pt idx="3">
                  <c:v>Eyeshadow</c:v>
                </c:pt>
                <c:pt idx="4">
                  <c:v>Foundation</c:v>
                </c:pt>
                <c:pt idx="5">
                  <c:v>Highlighter</c:v>
                </c:pt>
                <c:pt idx="6">
                  <c:v>Lipstick</c:v>
                </c:pt>
                <c:pt idx="7">
                  <c:v>Mascara</c:v>
                </c:pt>
              </c:strCache>
            </c:strRef>
          </c:cat>
          <c:val>
            <c:numRef>
              <c:f>'pivot table'!$M$8:$M$16</c:f>
              <c:numCache>
                <c:formatCode>General</c:formatCode>
                <c:ptCount val="8"/>
                <c:pt idx="0">
                  <c:v>89158.260000000009</c:v>
                </c:pt>
                <c:pt idx="1">
                  <c:v>98215.87999999999</c:v>
                </c:pt>
                <c:pt idx="2">
                  <c:v>104735.62000000001</c:v>
                </c:pt>
                <c:pt idx="3">
                  <c:v>104839.02000000005</c:v>
                </c:pt>
                <c:pt idx="4">
                  <c:v>96756.969999999987</c:v>
                </c:pt>
                <c:pt idx="5">
                  <c:v>99516.430000000051</c:v>
                </c:pt>
                <c:pt idx="6">
                  <c:v>83831.250000000029</c:v>
                </c:pt>
                <c:pt idx="7">
                  <c:v>116135.06999999996</c:v>
                </c:pt>
              </c:numCache>
            </c:numRef>
          </c:val>
          <c:extLst>
            <c:ext xmlns:c16="http://schemas.microsoft.com/office/drawing/2014/chart" uri="{C3380CC4-5D6E-409C-BE32-E72D297353CC}">
              <c16:uniqueId val="{00000000-FB95-4668-8524-82E36BFF6EBF}"/>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[Makep Dashboard.xlsx]pivot table!PivotTable3</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table'!$Q$7</c:f>
              <c:strCache>
                <c:ptCount val="1"/>
                <c:pt idx="0">
                  <c:v>Total</c:v>
                </c:pt>
              </c:strCache>
            </c:strRef>
          </c:tx>
          <c:spPr>
            <a:solidFill>
              <a:schemeClr val="accent1"/>
            </a:solidFill>
            <a:ln>
              <a:noFill/>
            </a:ln>
            <a:effectLst/>
          </c:spPr>
          <c:invertIfNegative val="0"/>
          <c:cat>
            <c:strRef>
              <c:f>'pivot table'!$P$8:$P$12</c:f>
              <c:strCache>
                <c:ptCount val="4"/>
                <c:pt idx="0">
                  <c:v>Beauty Salon</c:v>
                </c:pt>
                <c:pt idx="1">
                  <c:v>Mall</c:v>
                </c:pt>
                <c:pt idx="2">
                  <c:v>Online</c:v>
                </c:pt>
                <c:pt idx="3">
                  <c:v>Retail Store</c:v>
                </c:pt>
              </c:strCache>
            </c:strRef>
          </c:cat>
          <c:val>
            <c:numRef>
              <c:f>'pivot table'!$Q$8:$Q$12</c:f>
              <c:numCache>
                <c:formatCode>General</c:formatCode>
                <c:ptCount val="4"/>
                <c:pt idx="0">
                  <c:v>175949.00999999995</c:v>
                </c:pt>
                <c:pt idx="1">
                  <c:v>189931.46000000005</c:v>
                </c:pt>
                <c:pt idx="2">
                  <c:v>224882.60000000006</c:v>
                </c:pt>
                <c:pt idx="3">
                  <c:v>202425.42999999996</c:v>
                </c:pt>
              </c:numCache>
            </c:numRef>
          </c:val>
          <c:extLst>
            <c:ext xmlns:c16="http://schemas.microsoft.com/office/drawing/2014/chart" uri="{C3380CC4-5D6E-409C-BE32-E72D297353CC}">
              <c16:uniqueId val="{00000000-5F8A-4EA0-93E2-A9719EAB322C}"/>
            </c:ext>
          </c:extLst>
        </c:ser>
        <c:dLbls>
          <c:showLegendKey val="0"/>
          <c:showVal val="0"/>
          <c:showCatName val="0"/>
          <c:showSerName val="0"/>
          <c:showPercent val="0"/>
          <c:showBubbleSize val="0"/>
        </c:dLbls>
        <c:gapWidth val="150"/>
        <c:overlap val="100"/>
        <c:axId val="656922688"/>
        <c:axId val="656906368"/>
      </c:barChart>
      <c:catAx>
        <c:axId val="65692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906368"/>
        <c:crosses val="autoZero"/>
        <c:auto val="1"/>
        <c:lblAlgn val="ctr"/>
        <c:lblOffset val="100"/>
        <c:noMultiLvlLbl val="0"/>
      </c:catAx>
      <c:valAx>
        <c:axId val="65690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922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[Makep Dashboard.xlsx]pivot table!PivotTable4</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table'!$V$7</c:f>
              <c:strCache>
                <c:ptCount val="1"/>
                <c:pt idx="0">
                  <c:v>Total</c:v>
                </c:pt>
              </c:strCache>
            </c:strRef>
          </c:tx>
          <c:spPr>
            <a:solidFill>
              <a:schemeClr val="accent1"/>
            </a:solidFill>
            <a:ln>
              <a:noFill/>
            </a:ln>
            <a:effectLst/>
          </c:spPr>
          <c:invertIfNegative val="0"/>
          <c:cat>
            <c:strRef>
              <c:f>'pivot table'!$U$8:$U$16</c:f>
              <c:strCache>
                <c:ptCount val="8"/>
                <c:pt idx="0">
                  <c:v>Canada</c:v>
                </c:pt>
                <c:pt idx="1">
                  <c:v>France</c:v>
                </c:pt>
                <c:pt idx="2">
                  <c:v>Germany</c:v>
                </c:pt>
                <c:pt idx="3">
                  <c:v>India</c:v>
                </c:pt>
                <c:pt idx="4">
                  <c:v>Saudi Arabia</c:v>
                </c:pt>
                <c:pt idx="5">
                  <c:v>UAE</c:v>
                </c:pt>
                <c:pt idx="6">
                  <c:v>UK</c:v>
                </c:pt>
                <c:pt idx="7">
                  <c:v>USA</c:v>
                </c:pt>
              </c:strCache>
            </c:strRef>
          </c:cat>
          <c:val>
            <c:numRef>
              <c:f>'pivot table'!$V$8:$V$16</c:f>
              <c:numCache>
                <c:formatCode>General</c:formatCode>
                <c:ptCount val="8"/>
                <c:pt idx="0">
                  <c:v>85349.389999999985</c:v>
                </c:pt>
                <c:pt idx="1">
                  <c:v>80364.06</c:v>
                </c:pt>
                <c:pt idx="2">
                  <c:v>92125.729999999967</c:v>
                </c:pt>
                <c:pt idx="3">
                  <c:v>109638.23000000003</c:v>
                </c:pt>
                <c:pt idx="4">
                  <c:v>120778.08000000002</c:v>
                </c:pt>
                <c:pt idx="5">
                  <c:v>93567.94</c:v>
                </c:pt>
                <c:pt idx="6">
                  <c:v>115359.56000000001</c:v>
                </c:pt>
                <c:pt idx="7">
                  <c:v>96005.510000000009</c:v>
                </c:pt>
              </c:numCache>
            </c:numRef>
          </c:val>
          <c:extLst>
            <c:ext xmlns:c16="http://schemas.microsoft.com/office/drawing/2014/chart" uri="{C3380CC4-5D6E-409C-BE32-E72D297353CC}">
              <c16:uniqueId val="{00000000-18D2-461E-9E41-E4CB5672714F}"/>
            </c:ext>
          </c:extLst>
        </c:ser>
        <c:dLbls>
          <c:showLegendKey val="0"/>
          <c:showVal val="0"/>
          <c:showCatName val="0"/>
          <c:showSerName val="0"/>
          <c:showPercent val="0"/>
          <c:showBubbleSize val="0"/>
        </c:dLbls>
        <c:gapWidth val="182"/>
        <c:axId val="539989216"/>
        <c:axId val="539984416"/>
      </c:barChart>
      <c:catAx>
        <c:axId val="53998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984416"/>
        <c:crosses val="autoZero"/>
        <c:auto val="1"/>
        <c:lblAlgn val="ctr"/>
        <c:lblOffset val="100"/>
        <c:noMultiLvlLbl val="0"/>
      </c:catAx>
      <c:valAx>
        <c:axId val="539984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98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[Makep Dashboard.xlsx]pivot table!PivotTable8</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table'!$B$53</c:f>
              <c:strCache>
                <c:ptCount val="1"/>
                <c:pt idx="0">
                  <c:v>Total</c:v>
                </c:pt>
              </c:strCache>
            </c:strRef>
          </c:tx>
          <c:spPr>
            <a:solidFill>
              <a:schemeClr val="accent1"/>
            </a:solidFill>
            <a:ln>
              <a:noFill/>
            </a:ln>
            <a:effectLst/>
          </c:spPr>
          <c:invertIfNegative val="0"/>
          <c:cat>
            <c:strRef>
              <c:f>'pivot table'!$A$54:$A$62</c:f>
              <c:strCache>
                <c:ptCount val="8"/>
                <c:pt idx="0">
                  <c:v>Blush</c:v>
                </c:pt>
                <c:pt idx="1">
                  <c:v>Concealer</c:v>
                </c:pt>
                <c:pt idx="2">
                  <c:v>Eyeliner</c:v>
                </c:pt>
                <c:pt idx="3">
                  <c:v>Eyeshadow</c:v>
                </c:pt>
                <c:pt idx="4">
                  <c:v>Foundation</c:v>
                </c:pt>
                <c:pt idx="5">
                  <c:v>Highlighter</c:v>
                </c:pt>
                <c:pt idx="6">
                  <c:v>Lipstick</c:v>
                </c:pt>
                <c:pt idx="7">
                  <c:v>Mascara</c:v>
                </c:pt>
              </c:strCache>
            </c:strRef>
          </c:cat>
          <c:val>
            <c:numRef>
              <c:f>'pivot table'!$B$54:$B$62</c:f>
              <c:numCache>
                <c:formatCode>General</c:formatCode>
                <c:ptCount val="8"/>
                <c:pt idx="0">
                  <c:v>89158.260000000009</c:v>
                </c:pt>
                <c:pt idx="1">
                  <c:v>98215.87999999999</c:v>
                </c:pt>
                <c:pt idx="2">
                  <c:v>104735.62000000001</c:v>
                </c:pt>
                <c:pt idx="3">
                  <c:v>104839.02000000005</c:v>
                </c:pt>
                <c:pt idx="4">
                  <c:v>96756.969999999987</c:v>
                </c:pt>
                <c:pt idx="5">
                  <c:v>99516.430000000051</c:v>
                </c:pt>
                <c:pt idx="6">
                  <c:v>83831.250000000029</c:v>
                </c:pt>
                <c:pt idx="7">
                  <c:v>116135.06999999996</c:v>
                </c:pt>
              </c:numCache>
            </c:numRef>
          </c:val>
          <c:extLst>
            <c:ext xmlns:c16="http://schemas.microsoft.com/office/drawing/2014/chart" uri="{C3380CC4-5D6E-409C-BE32-E72D297353CC}">
              <c16:uniqueId val="{00000000-4F6F-4AA2-BB6D-32EAD44879E9}"/>
            </c:ext>
          </c:extLst>
        </c:ser>
        <c:dLbls>
          <c:showLegendKey val="0"/>
          <c:showVal val="0"/>
          <c:showCatName val="0"/>
          <c:showSerName val="0"/>
          <c:showPercent val="0"/>
          <c:showBubbleSize val="0"/>
        </c:dLbls>
        <c:gapWidth val="182"/>
        <c:axId val="656877088"/>
        <c:axId val="656893888"/>
      </c:barChart>
      <c:catAx>
        <c:axId val="65687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893888"/>
        <c:crosses val="autoZero"/>
        <c:auto val="1"/>
        <c:lblAlgn val="ctr"/>
        <c:lblOffset val="100"/>
        <c:noMultiLvlLbl val="0"/>
      </c:catAx>
      <c:valAx>
        <c:axId val="656893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87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[Makep Dashboard.xlsx]pivot table!PivotTable9</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table'!$I$53</c:f>
              <c:strCache>
                <c:ptCount val="1"/>
                <c:pt idx="0">
                  <c:v>Total</c:v>
                </c:pt>
              </c:strCache>
            </c:strRef>
          </c:tx>
          <c:spPr>
            <a:solidFill>
              <a:schemeClr val="accent1"/>
            </a:solidFill>
            <a:ln>
              <a:noFill/>
            </a:ln>
            <a:effectLst/>
          </c:spPr>
          <c:invertIfNegative val="0"/>
          <c:cat>
            <c:strRef>
              <c:f>'pivot table'!$H$54:$H$62</c:f>
              <c:strCache>
                <c:ptCount val="8"/>
                <c:pt idx="0">
                  <c:v>Dior</c:v>
                </c:pt>
                <c:pt idx="1">
                  <c:v>Estee Lauder</c:v>
                </c:pt>
                <c:pt idx="2">
                  <c:v>Fenty Beauty</c:v>
                </c:pt>
                <c:pt idx="3">
                  <c:v>Huda Beauty</c:v>
                </c:pt>
                <c:pt idx="4">
                  <c:v>L'Oreal</c:v>
                </c:pt>
                <c:pt idx="5">
                  <c:v>MAC</c:v>
                </c:pt>
                <c:pt idx="6">
                  <c:v>Maybelline</c:v>
                </c:pt>
                <c:pt idx="7">
                  <c:v>NARS</c:v>
                </c:pt>
              </c:strCache>
            </c:strRef>
          </c:cat>
          <c:val>
            <c:numRef>
              <c:f>'pivot table'!$I$54:$I$62</c:f>
              <c:numCache>
                <c:formatCode>General</c:formatCode>
                <c:ptCount val="8"/>
                <c:pt idx="0">
                  <c:v>99810.989999999991</c:v>
                </c:pt>
                <c:pt idx="1">
                  <c:v>86983.48</c:v>
                </c:pt>
                <c:pt idx="2">
                  <c:v>95001.670000000056</c:v>
                </c:pt>
                <c:pt idx="3">
                  <c:v>76357.170000000013</c:v>
                </c:pt>
                <c:pt idx="4">
                  <c:v>123593.2</c:v>
                </c:pt>
                <c:pt idx="5">
                  <c:v>155245.81000000006</c:v>
                </c:pt>
                <c:pt idx="6">
                  <c:v>67403.560000000012</c:v>
                </c:pt>
                <c:pt idx="7">
                  <c:v>88792.62000000001</c:v>
                </c:pt>
              </c:numCache>
            </c:numRef>
          </c:val>
          <c:extLst>
            <c:ext xmlns:c16="http://schemas.microsoft.com/office/drawing/2014/chart" uri="{C3380CC4-5D6E-409C-BE32-E72D297353CC}">
              <c16:uniqueId val="{00000000-AC09-4325-8A6E-41BCF70A47CB}"/>
            </c:ext>
          </c:extLst>
        </c:ser>
        <c:dLbls>
          <c:showLegendKey val="0"/>
          <c:showVal val="0"/>
          <c:showCatName val="0"/>
          <c:showSerName val="0"/>
          <c:showPercent val="0"/>
          <c:showBubbleSize val="0"/>
        </c:dLbls>
        <c:gapWidth val="150"/>
        <c:overlap val="100"/>
        <c:axId val="106637072"/>
        <c:axId val="106646672"/>
      </c:barChart>
      <c:catAx>
        <c:axId val="106637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46672"/>
        <c:crosses val="autoZero"/>
        <c:auto val="1"/>
        <c:lblAlgn val="ctr"/>
        <c:lblOffset val="100"/>
        <c:noMultiLvlLbl val="0"/>
      </c:catAx>
      <c:valAx>
        <c:axId val="106646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3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[Makep Dashboard.xlsx]pivot table!PivotTable10</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table'!$N$53</c:f>
              <c:strCache>
                <c:ptCount val="1"/>
                <c:pt idx="0">
                  <c:v>Total</c:v>
                </c:pt>
              </c:strCache>
            </c:strRef>
          </c:tx>
          <c:spPr>
            <a:solidFill>
              <a:schemeClr val="accent1"/>
            </a:solidFill>
            <a:ln>
              <a:noFill/>
            </a:ln>
            <a:effectLst/>
          </c:spPr>
          <c:invertIfNegative val="0"/>
          <c:cat>
            <c:strRef>
              <c:f>'pivot table'!$M$54:$M$62</c:f>
              <c:strCache>
                <c:ptCount val="8"/>
                <c:pt idx="0">
                  <c:v>Blush</c:v>
                </c:pt>
                <c:pt idx="1">
                  <c:v>Concealer</c:v>
                </c:pt>
                <c:pt idx="2">
                  <c:v>Eyeliner</c:v>
                </c:pt>
                <c:pt idx="3">
                  <c:v>Eyeshadow</c:v>
                </c:pt>
                <c:pt idx="4">
                  <c:v>Foundation</c:v>
                </c:pt>
                <c:pt idx="5">
                  <c:v>Highlighter</c:v>
                </c:pt>
                <c:pt idx="6">
                  <c:v>Lipstick</c:v>
                </c:pt>
                <c:pt idx="7">
                  <c:v>Mascara</c:v>
                </c:pt>
              </c:strCache>
            </c:strRef>
          </c:cat>
          <c:val>
            <c:numRef>
              <c:f>'pivot table'!$N$54:$N$62</c:f>
              <c:numCache>
                <c:formatCode>General</c:formatCode>
                <c:ptCount val="8"/>
                <c:pt idx="0">
                  <c:v>1453</c:v>
                </c:pt>
                <c:pt idx="1">
                  <c:v>1352</c:v>
                </c:pt>
                <c:pt idx="2">
                  <c:v>1646</c:v>
                </c:pt>
                <c:pt idx="3">
                  <c:v>1716</c:v>
                </c:pt>
                <c:pt idx="4">
                  <c:v>1523</c:v>
                </c:pt>
                <c:pt idx="5">
                  <c:v>1526</c:v>
                </c:pt>
                <c:pt idx="6">
                  <c:v>1592</c:v>
                </c:pt>
                <c:pt idx="7">
                  <c:v>1900</c:v>
                </c:pt>
              </c:numCache>
            </c:numRef>
          </c:val>
          <c:extLst>
            <c:ext xmlns:c16="http://schemas.microsoft.com/office/drawing/2014/chart" uri="{C3380CC4-5D6E-409C-BE32-E72D297353CC}">
              <c16:uniqueId val="{00000000-F088-45B5-9B25-D1CAAB234F92}"/>
            </c:ext>
          </c:extLst>
        </c:ser>
        <c:dLbls>
          <c:showLegendKey val="0"/>
          <c:showVal val="0"/>
          <c:showCatName val="0"/>
          <c:showSerName val="0"/>
          <c:showPercent val="0"/>
          <c:showBubbleSize val="0"/>
        </c:dLbls>
        <c:gapWidth val="219"/>
        <c:overlap val="-27"/>
        <c:axId val="895625680"/>
        <c:axId val="895634320"/>
      </c:barChart>
      <c:catAx>
        <c:axId val="89562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634320"/>
        <c:crosses val="autoZero"/>
        <c:auto val="1"/>
        <c:lblAlgn val="ctr"/>
        <c:lblOffset val="100"/>
        <c:noMultiLvlLbl val="0"/>
      </c:catAx>
      <c:valAx>
        <c:axId val="89563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62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[Makep Dashboard.xlsx]pivot table!PivotTable11</c:name>
    <c:fmtId val="38"/>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ofPieChart>
        <c:ofPieType val="pie"/>
        <c:varyColors val="1"/>
        <c:ser>
          <c:idx val="0"/>
          <c:order val="0"/>
          <c:tx>
            <c:strRef>
              <c:f>'pivot table'!$T$53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2C-4C23-8BA1-0BE69140DC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2C-4C23-8BA1-0BE69140DC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82C-4C23-8BA1-0BE69140DC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82C-4C23-8BA1-0BE69140DCC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82C-4C23-8BA1-0BE69140DCC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82C-4C23-8BA1-0BE69140DCC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82C-4C23-8BA1-0BE69140DCC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82C-4C23-8BA1-0BE69140DCC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82C-4C23-8BA1-0BE69140DCC5}"/>
              </c:ext>
            </c:extLst>
          </c:dPt>
          <c:cat>
            <c:strRef>
              <c:f>'pivot table'!$S$54:$S$62</c:f>
              <c:strCache>
                <c:ptCount val="8"/>
                <c:pt idx="0">
                  <c:v>Blush</c:v>
                </c:pt>
                <c:pt idx="1">
                  <c:v>Concealer</c:v>
                </c:pt>
                <c:pt idx="2">
                  <c:v>Eyeliner</c:v>
                </c:pt>
                <c:pt idx="3">
                  <c:v>Eyeshadow</c:v>
                </c:pt>
                <c:pt idx="4">
                  <c:v>Foundation</c:v>
                </c:pt>
                <c:pt idx="5">
                  <c:v>Highlighter</c:v>
                </c:pt>
                <c:pt idx="6">
                  <c:v>Lipstick</c:v>
                </c:pt>
                <c:pt idx="7">
                  <c:v>Mascara</c:v>
                </c:pt>
              </c:strCache>
            </c:strRef>
          </c:cat>
          <c:val>
            <c:numRef>
              <c:f>'pivot table'!$T$54:$T$62</c:f>
              <c:numCache>
                <c:formatCode>General</c:formatCode>
                <c:ptCount val="8"/>
                <c:pt idx="0">
                  <c:v>89158.260000000009</c:v>
                </c:pt>
                <c:pt idx="1">
                  <c:v>98215.87999999999</c:v>
                </c:pt>
                <c:pt idx="2">
                  <c:v>104735.62000000001</c:v>
                </c:pt>
                <c:pt idx="3">
                  <c:v>104839.02000000005</c:v>
                </c:pt>
                <c:pt idx="4">
                  <c:v>96756.969999999987</c:v>
                </c:pt>
                <c:pt idx="5">
                  <c:v>99516.430000000051</c:v>
                </c:pt>
                <c:pt idx="6">
                  <c:v>83831.250000000029</c:v>
                </c:pt>
                <c:pt idx="7">
                  <c:v>116135.06999999996</c:v>
                </c:pt>
              </c:numCache>
            </c:numRef>
          </c:val>
          <c:extLst>
            <c:ext xmlns:c16="http://schemas.microsoft.com/office/drawing/2014/chart" uri="{C3380CC4-5D6E-409C-BE32-E72D297353CC}">
              <c16:uniqueId val="{00000000-3AE5-4CE0-929F-DF2F1210E4EF}"/>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[Makep Dashboard.xlsx]pivot table!PivotTable12</c:name>
    <c:fmtId val="4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table'!$C$84</c:f>
              <c:strCache>
                <c:ptCount val="1"/>
                <c:pt idx="0">
                  <c:v>Total</c:v>
                </c:pt>
              </c:strCache>
            </c:strRef>
          </c:tx>
          <c:spPr>
            <a:solidFill>
              <a:schemeClr val="accent1"/>
            </a:solidFill>
            <a:ln>
              <a:noFill/>
            </a:ln>
            <a:effectLst/>
          </c:spPr>
          <c:invertIfNegative val="0"/>
          <c:cat>
            <c:strRef>
              <c:f>'pivot table'!$B$85:$B$88</c:f>
              <c:strCache>
                <c:ptCount val="3"/>
                <c:pt idx="0">
                  <c:v>Card</c:v>
                </c:pt>
                <c:pt idx="1">
                  <c:v>Cash</c:v>
                </c:pt>
                <c:pt idx="2">
                  <c:v>Digital Wallet</c:v>
                </c:pt>
              </c:strCache>
            </c:strRef>
          </c:cat>
          <c:val>
            <c:numRef>
              <c:f>'pivot table'!$C$85:$C$88</c:f>
              <c:numCache>
                <c:formatCode>General</c:formatCode>
                <c:ptCount val="3"/>
                <c:pt idx="0">
                  <c:v>282921.9599999999</c:v>
                </c:pt>
                <c:pt idx="1">
                  <c:v>219738.83000000007</c:v>
                </c:pt>
                <c:pt idx="2">
                  <c:v>290527.70999999996</c:v>
                </c:pt>
              </c:numCache>
            </c:numRef>
          </c:val>
          <c:extLst>
            <c:ext xmlns:c16="http://schemas.microsoft.com/office/drawing/2014/chart" uri="{C3380CC4-5D6E-409C-BE32-E72D297353CC}">
              <c16:uniqueId val="{00000000-B932-45C2-B67C-79EB9BD1D35A}"/>
            </c:ext>
          </c:extLst>
        </c:ser>
        <c:dLbls>
          <c:showLegendKey val="0"/>
          <c:showVal val="0"/>
          <c:showCatName val="0"/>
          <c:showSerName val="0"/>
          <c:showPercent val="0"/>
          <c:showBubbleSize val="0"/>
        </c:dLbls>
        <c:gapWidth val="182"/>
        <c:axId val="2054212496"/>
        <c:axId val="2054212976"/>
      </c:barChart>
      <c:catAx>
        <c:axId val="2054212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212976"/>
        <c:crosses val="autoZero"/>
        <c:auto val="1"/>
        <c:lblAlgn val="ctr"/>
        <c:lblOffset val="100"/>
        <c:noMultiLvlLbl val="0"/>
      </c:catAx>
      <c:valAx>
        <c:axId val="205421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2124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[Makep Dashboard.xlsx]pivot table!PivotTable13</c:name>
    <c:fmtId val="4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69203849518807"/>
          <c:y val="0.18458114610673665"/>
          <c:w val="0.73816426071741037"/>
          <c:h val="0.48725758238553513"/>
        </c:manualLayout>
      </c:layout>
      <c:barChart>
        <c:barDir val="col"/>
        <c:grouping val="clustered"/>
        <c:varyColors val="0"/>
        <c:ser>
          <c:idx val="0"/>
          <c:order val="0"/>
          <c:tx>
            <c:strRef>
              <c:f>'pivot table'!$H$84</c:f>
              <c:strCache>
                <c:ptCount val="1"/>
                <c:pt idx="0">
                  <c:v>Total</c:v>
                </c:pt>
              </c:strCache>
            </c:strRef>
          </c:tx>
          <c:spPr>
            <a:solidFill>
              <a:schemeClr val="accent1"/>
            </a:solidFill>
            <a:ln>
              <a:noFill/>
            </a:ln>
            <a:effectLst/>
          </c:spPr>
          <c:invertIfNegative val="0"/>
          <c:cat>
            <c:strRef>
              <c:f>'pivot table'!$G$85:$G$93</c:f>
              <c:strCache>
                <c:ptCount val="8"/>
                <c:pt idx="0">
                  <c:v>Canada</c:v>
                </c:pt>
                <c:pt idx="1">
                  <c:v>France</c:v>
                </c:pt>
                <c:pt idx="2">
                  <c:v>Germany</c:v>
                </c:pt>
                <c:pt idx="3">
                  <c:v>India</c:v>
                </c:pt>
                <c:pt idx="4">
                  <c:v>Saudi Arabia</c:v>
                </c:pt>
                <c:pt idx="5">
                  <c:v>UAE</c:v>
                </c:pt>
                <c:pt idx="6">
                  <c:v>UK</c:v>
                </c:pt>
                <c:pt idx="7">
                  <c:v>USA</c:v>
                </c:pt>
              </c:strCache>
            </c:strRef>
          </c:cat>
          <c:val>
            <c:numRef>
              <c:f>'pivot table'!$H$85:$H$93</c:f>
              <c:numCache>
                <c:formatCode>General</c:formatCode>
                <c:ptCount val="8"/>
                <c:pt idx="0">
                  <c:v>85349.389999999985</c:v>
                </c:pt>
                <c:pt idx="1">
                  <c:v>80364.06</c:v>
                </c:pt>
                <c:pt idx="2">
                  <c:v>92125.729999999967</c:v>
                </c:pt>
                <c:pt idx="3">
                  <c:v>109638.23000000003</c:v>
                </c:pt>
                <c:pt idx="4">
                  <c:v>120778.08000000002</c:v>
                </c:pt>
                <c:pt idx="5">
                  <c:v>93567.94</c:v>
                </c:pt>
                <c:pt idx="6">
                  <c:v>115359.56000000001</c:v>
                </c:pt>
                <c:pt idx="7">
                  <c:v>96005.510000000009</c:v>
                </c:pt>
              </c:numCache>
            </c:numRef>
          </c:val>
          <c:extLst>
            <c:ext xmlns:c16="http://schemas.microsoft.com/office/drawing/2014/chart" uri="{C3380CC4-5D6E-409C-BE32-E72D297353CC}">
              <c16:uniqueId val="{00000000-C09E-4BE8-8A1D-6096ABD91922}"/>
            </c:ext>
          </c:extLst>
        </c:ser>
        <c:dLbls>
          <c:showLegendKey val="0"/>
          <c:showVal val="0"/>
          <c:showCatName val="0"/>
          <c:showSerName val="0"/>
          <c:showPercent val="0"/>
          <c:showBubbleSize val="0"/>
        </c:dLbls>
        <c:gapWidth val="219"/>
        <c:overlap val="-27"/>
        <c:axId val="1129491184"/>
        <c:axId val="1129491664"/>
      </c:barChart>
      <c:catAx>
        <c:axId val="112949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491664"/>
        <c:crosses val="autoZero"/>
        <c:auto val="1"/>
        <c:lblAlgn val="ctr"/>
        <c:lblOffset val="100"/>
        <c:noMultiLvlLbl val="0"/>
      </c:catAx>
      <c:valAx>
        <c:axId val="112949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49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[Makep Dashboard.xlsx]pivot table!PivotTable14</c:name>
    <c:fmtId val="5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table'!$L$86</c:f>
              <c:strCache>
                <c:ptCount val="1"/>
                <c:pt idx="0">
                  <c:v>Total</c:v>
                </c:pt>
              </c:strCache>
            </c:strRef>
          </c:tx>
          <c:spPr>
            <a:solidFill>
              <a:schemeClr val="accent1"/>
            </a:solidFill>
            <a:ln>
              <a:noFill/>
            </a:ln>
            <a:effectLst/>
          </c:spPr>
          <c:invertIfNegative val="0"/>
          <c:cat>
            <c:strRef>
              <c:f>'pivot table'!$K$87:$K$90</c:f>
              <c:strCache>
                <c:ptCount val="3"/>
                <c:pt idx="0">
                  <c:v>Card</c:v>
                </c:pt>
                <c:pt idx="1">
                  <c:v>Cash</c:v>
                </c:pt>
                <c:pt idx="2">
                  <c:v>Digital Wallet</c:v>
                </c:pt>
              </c:strCache>
            </c:strRef>
          </c:cat>
          <c:val>
            <c:numRef>
              <c:f>'pivot table'!$L$87:$L$90</c:f>
              <c:numCache>
                <c:formatCode>General</c:formatCode>
                <c:ptCount val="3"/>
                <c:pt idx="0">
                  <c:v>4592</c:v>
                </c:pt>
                <c:pt idx="1">
                  <c:v>3593</c:v>
                </c:pt>
                <c:pt idx="2">
                  <c:v>4523</c:v>
                </c:pt>
              </c:numCache>
            </c:numRef>
          </c:val>
          <c:extLst>
            <c:ext xmlns:c16="http://schemas.microsoft.com/office/drawing/2014/chart" uri="{C3380CC4-5D6E-409C-BE32-E72D297353CC}">
              <c16:uniqueId val="{00000000-1031-4447-92EE-EA1377F10213}"/>
            </c:ext>
          </c:extLst>
        </c:ser>
        <c:dLbls>
          <c:showLegendKey val="0"/>
          <c:showVal val="0"/>
          <c:showCatName val="0"/>
          <c:showSerName val="0"/>
          <c:showPercent val="0"/>
          <c:showBubbleSize val="0"/>
        </c:dLbls>
        <c:gapWidth val="182"/>
        <c:axId val="1129392784"/>
        <c:axId val="1129394704"/>
      </c:barChart>
      <c:catAx>
        <c:axId val="1129392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394704"/>
        <c:crosses val="autoZero"/>
        <c:auto val="1"/>
        <c:lblAlgn val="ctr"/>
        <c:lblOffset val="100"/>
        <c:noMultiLvlLbl val="0"/>
      </c:catAx>
      <c:valAx>
        <c:axId val="1129394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39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[Makep Dashboard.xlsx]pivot table!PivotTable15</c:name>
    <c:fmtId val="55"/>
  </c:pivotSource>
  <c:chart>
    <c:title>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table'!$Q$86</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table'!$P$87:$P$95</c:f>
              <c:strCache>
                <c:ptCount val="8"/>
                <c:pt idx="0">
                  <c:v>Dior</c:v>
                </c:pt>
                <c:pt idx="1">
                  <c:v>Estee Lauder</c:v>
                </c:pt>
                <c:pt idx="2">
                  <c:v>Fenty Beauty</c:v>
                </c:pt>
                <c:pt idx="3">
                  <c:v>Huda Beauty</c:v>
                </c:pt>
                <c:pt idx="4">
                  <c:v>L'Oreal</c:v>
                </c:pt>
                <c:pt idx="5">
                  <c:v>MAC</c:v>
                </c:pt>
                <c:pt idx="6">
                  <c:v>Maybelline</c:v>
                </c:pt>
                <c:pt idx="7">
                  <c:v>NARS</c:v>
                </c:pt>
              </c:strCache>
            </c:strRef>
          </c:cat>
          <c:val>
            <c:numRef>
              <c:f>'pivot table'!$Q$87:$Q$95</c:f>
              <c:numCache>
                <c:formatCode>General</c:formatCode>
                <c:ptCount val="8"/>
                <c:pt idx="0">
                  <c:v>1442</c:v>
                </c:pt>
                <c:pt idx="1">
                  <c:v>1492</c:v>
                </c:pt>
                <c:pt idx="2">
                  <c:v>1569</c:v>
                </c:pt>
                <c:pt idx="3">
                  <c:v>1394</c:v>
                </c:pt>
                <c:pt idx="4">
                  <c:v>1819</c:v>
                </c:pt>
                <c:pt idx="5">
                  <c:v>2155</c:v>
                </c:pt>
                <c:pt idx="6">
                  <c:v>1178</c:v>
                </c:pt>
                <c:pt idx="7">
                  <c:v>1659</c:v>
                </c:pt>
              </c:numCache>
            </c:numRef>
          </c:val>
          <c:extLst>
            <c:ext xmlns:c16="http://schemas.microsoft.com/office/drawing/2014/chart" uri="{C3380CC4-5D6E-409C-BE32-E72D297353CC}">
              <c16:uniqueId val="{00000000-F9EE-4E38-992E-3769E44903BB}"/>
            </c:ext>
          </c:extLst>
        </c:ser>
        <c:dLbls>
          <c:dLblPos val="outEnd"/>
          <c:showLegendKey val="0"/>
          <c:showVal val="1"/>
          <c:showCatName val="0"/>
          <c:showSerName val="0"/>
          <c:showPercent val="0"/>
          <c:showBubbleSize val="0"/>
        </c:dLbls>
        <c:gapWidth val="80"/>
        <c:overlap val="25"/>
        <c:axId val="1129403824"/>
        <c:axId val="1129408624"/>
      </c:barChart>
      <c:catAx>
        <c:axId val="1129403824"/>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129408624"/>
        <c:crosses val="autoZero"/>
        <c:auto val="1"/>
        <c:lblAlgn val="ctr"/>
        <c:lblOffset val="100"/>
        <c:noMultiLvlLbl val="0"/>
      </c:catAx>
      <c:valAx>
        <c:axId val="112940862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12940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[Makep Dashboard.xlsx]pivot table!PivotTable19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dk1">
                  <a:tint val="88500"/>
                </a:schemeClr>
              </a:solidFill>
              <a:round/>
            </a:ln>
            <a:effectLst/>
          </c:spPr>
          <c:marker>
            <c:symbol val="circle"/>
            <c:size val="5"/>
            <c:spPr>
              <a:solidFill>
                <a:schemeClr val="dk1">
                  <a:tint val="88500"/>
                </a:schemeClr>
              </a:solidFill>
              <a:ln w="9525">
                <a:solidFill>
                  <a:schemeClr val="dk1">
                    <a:tint val="88500"/>
                  </a:schemeClr>
                </a:solidFill>
              </a:ln>
              <a:effectLst/>
            </c:spPr>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General</c:formatCode>
                <c:ptCount val="12"/>
                <c:pt idx="0">
                  <c:v>63184.049999999996</c:v>
                </c:pt>
                <c:pt idx="1">
                  <c:v>41654.670000000006</c:v>
                </c:pt>
                <c:pt idx="2">
                  <c:v>71169.11</c:v>
                </c:pt>
                <c:pt idx="3">
                  <c:v>67298.709999999992</c:v>
                </c:pt>
                <c:pt idx="4">
                  <c:v>69506.680000000008</c:v>
                </c:pt>
                <c:pt idx="5">
                  <c:v>98829.22</c:v>
                </c:pt>
                <c:pt idx="6">
                  <c:v>60675.030000000006</c:v>
                </c:pt>
                <c:pt idx="7">
                  <c:v>83296.77</c:v>
                </c:pt>
                <c:pt idx="8">
                  <c:v>54373.64</c:v>
                </c:pt>
                <c:pt idx="9">
                  <c:v>53388.290000000008</c:v>
                </c:pt>
                <c:pt idx="10">
                  <c:v>67251.709999999992</c:v>
                </c:pt>
                <c:pt idx="11">
                  <c:v>62560.62</c:v>
                </c:pt>
              </c:numCache>
            </c:numRef>
          </c:val>
          <c:smooth val="0"/>
          <c:extLst>
            <c:ext xmlns:c16="http://schemas.microsoft.com/office/drawing/2014/chart" uri="{C3380CC4-5D6E-409C-BE32-E72D297353CC}">
              <c16:uniqueId val="{00000000-5E84-4C9E-84FB-C88A844F1EB5}"/>
            </c:ext>
          </c:extLst>
        </c:ser>
        <c:dLbls>
          <c:showLegendKey val="0"/>
          <c:showVal val="0"/>
          <c:showCatName val="0"/>
          <c:showSerName val="0"/>
          <c:showPercent val="0"/>
          <c:showBubbleSize val="0"/>
        </c:dLbls>
        <c:marker val="1"/>
        <c:smooth val="0"/>
        <c:axId val="106641872"/>
        <c:axId val="106650512"/>
      </c:lineChart>
      <c:catAx>
        <c:axId val="10664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50512"/>
        <c:crosses val="autoZero"/>
        <c:auto val="1"/>
        <c:lblAlgn val="ctr"/>
        <c:lblOffset val="100"/>
        <c:noMultiLvlLbl val="0"/>
      </c:catAx>
      <c:valAx>
        <c:axId val="10665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4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[Makep Dashboard.xlsx]pivot table!PivotTable1</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table'!$H$12</c:f>
              <c:strCache>
                <c:ptCount val="1"/>
                <c:pt idx="0">
                  <c:v>Total</c:v>
                </c:pt>
              </c:strCache>
            </c:strRef>
          </c:tx>
          <c:spPr>
            <a:solidFill>
              <a:schemeClr val="accent1"/>
            </a:solidFill>
            <a:ln>
              <a:noFill/>
            </a:ln>
            <a:effectLst/>
          </c:spPr>
          <c:invertIfNegative val="0"/>
          <c:cat>
            <c:strRef>
              <c:f>'pivot table'!$G$13:$G$21</c:f>
              <c:strCache>
                <c:ptCount val="8"/>
                <c:pt idx="0">
                  <c:v>Dior</c:v>
                </c:pt>
                <c:pt idx="1">
                  <c:v>Estee Lauder</c:v>
                </c:pt>
                <c:pt idx="2">
                  <c:v>Fenty Beauty</c:v>
                </c:pt>
                <c:pt idx="3">
                  <c:v>Huda Beauty</c:v>
                </c:pt>
                <c:pt idx="4">
                  <c:v>L'Oreal</c:v>
                </c:pt>
                <c:pt idx="5">
                  <c:v>MAC</c:v>
                </c:pt>
                <c:pt idx="6">
                  <c:v>Maybelline</c:v>
                </c:pt>
                <c:pt idx="7">
                  <c:v>NARS</c:v>
                </c:pt>
              </c:strCache>
            </c:strRef>
          </c:cat>
          <c:val>
            <c:numRef>
              <c:f>'pivot table'!$H$13:$H$21</c:f>
              <c:numCache>
                <c:formatCode>General</c:formatCode>
                <c:ptCount val="8"/>
                <c:pt idx="0">
                  <c:v>99810.989999999991</c:v>
                </c:pt>
                <c:pt idx="1">
                  <c:v>86983.48</c:v>
                </c:pt>
                <c:pt idx="2">
                  <c:v>95001.670000000056</c:v>
                </c:pt>
                <c:pt idx="3">
                  <c:v>76357.170000000013</c:v>
                </c:pt>
                <c:pt idx="4">
                  <c:v>123593.2</c:v>
                </c:pt>
                <c:pt idx="5">
                  <c:v>155245.81000000006</c:v>
                </c:pt>
                <c:pt idx="6">
                  <c:v>67403.560000000012</c:v>
                </c:pt>
                <c:pt idx="7">
                  <c:v>88792.62000000001</c:v>
                </c:pt>
              </c:numCache>
            </c:numRef>
          </c:val>
          <c:extLst>
            <c:ext xmlns:c16="http://schemas.microsoft.com/office/drawing/2014/chart" uri="{C3380CC4-5D6E-409C-BE32-E72D297353CC}">
              <c16:uniqueId val="{00000000-8389-4999-A1EA-706D1C67E282}"/>
            </c:ext>
          </c:extLst>
        </c:ser>
        <c:dLbls>
          <c:showLegendKey val="0"/>
          <c:showVal val="0"/>
          <c:showCatName val="0"/>
          <c:showSerName val="0"/>
          <c:showPercent val="0"/>
          <c:showBubbleSize val="0"/>
        </c:dLbls>
        <c:gapWidth val="182"/>
        <c:axId val="656878048"/>
        <c:axId val="656883328"/>
      </c:barChart>
      <c:catAx>
        <c:axId val="656878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883328"/>
        <c:crosses val="autoZero"/>
        <c:auto val="1"/>
        <c:lblAlgn val="ctr"/>
        <c:lblOffset val="100"/>
        <c:noMultiLvlLbl val="0"/>
      </c:catAx>
      <c:valAx>
        <c:axId val="6568833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6878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[Makep Dashboard.xlsx]pivot table!PivotTable2</c:name>
    <c:fmtId val="18"/>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marker>
          <c:symbol val="none"/>
        </c:marker>
        <c:dLbl>
          <c:idx val="0"/>
          <c:delete val="1"/>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2"/>
          </a:solidFill>
          <a:ln w="19050">
            <a:solidFill>
              <a:schemeClr val="lt1"/>
            </a:solidFill>
          </a:ln>
          <a:effectLst/>
        </c:spPr>
      </c:pivotFmt>
      <c:pivotFmt>
        <c:idx val="22"/>
        <c:spPr>
          <a:solidFill>
            <a:schemeClr val="accent3"/>
          </a:solidFill>
          <a:ln w="19050">
            <a:solidFill>
              <a:schemeClr val="lt1"/>
            </a:solidFill>
          </a:ln>
          <a:effectLst/>
        </c:spPr>
      </c:pivotFmt>
      <c:pivotFmt>
        <c:idx val="23"/>
        <c:spPr>
          <a:solidFill>
            <a:schemeClr val="accent4"/>
          </a:solidFill>
          <a:ln w="19050">
            <a:solidFill>
              <a:schemeClr val="lt1"/>
            </a:solidFill>
          </a:ln>
          <a:effectLst/>
        </c:spPr>
      </c:pivotFmt>
      <c:pivotFmt>
        <c:idx val="24"/>
        <c:spPr>
          <a:solidFill>
            <a:schemeClr val="accent5"/>
          </a:solidFill>
          <a:ln w="19050">
            <a:solidFill>
              <a:schemeClr val="lt1"/>
            </a:solidFill>
          </a:ln>
          <a:effectLst/>
        </c:spPr>
      </c:pivotFmt>
      <c:pivotFmt>
        <c:idx val="25"/>
        <c:spPr>
          <a:solidFill>
            <a:schemeClr val="accent6"/>
          </a:solidFill>
          <a:ln w="19050">
            <a:solidFill>
              <a:schemeClr val="lt1"/>
            </a:solidFill>
          </a:ln>
          <a:effectLst/>
        </c:spPr>
      </c:pivotFmt>
      <c:pivotFmt>
        <c:idx val="26"/>
        <c:spPr>
          <a:solidFill>
            <a:schemeClr val="accent1">
              <a:lumMod val="60000"/>
            </a:schemeClr>
          </a:solidFill>
          <a:ln w="19050">
            <a:solidFill>
              <a:schemeClr val="lt1"/>
            </a:solidFill>
          </a:ln>
          <a:effectLst/>
        </c:spPr>
      </c:pivotFmt>
      <c:pivotFmt>
        <c:idx val="27"/>
        <c:spPr>
          <a:solidFill>
            <a:schemeClr val="accent2">
              <a:lumMod val="60000"/>
            </a:schemeClr>
          </a:solidFill>
          <a:ln w="19050">
            <a:solidFill>
              <a:schemeClr val="lt1"/>
            </a:solidFill>
          </a:ln>
          <a:effectLst/>
        </c:spPr>
      </c:pivotFmt>
    </c:pivotFmts>
    <c:plotArea>
      <c:layout/>
      <c:ofPieChart>
        <c:ofPieType val="bar"/>
        <c:varyColors val="1"/>
        <c:ser>
          <c:idx val="0"/>
          <c:order val="0"/>
          <c:tx>
            <c:strRef>
              <c:f>'pivot table'!$M$7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31A5-497A-8C63-0D1B1044B31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31A5-497A-8C63-0D1B1044B31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31A5-497A-8C63-0D1B1044B31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31A5-497A-8C63-0D1B1044B31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31A5-497A-8C63-0D1B1044B31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F-31A5-497A-8C63-0D1B1044B31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1-31A5-497A-8C63-0D1B1044B31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3-31A5-497A-8C63-0D1B1044B31C}"/>
              </c:ext>
            </c:extLst>
          </c:dPt>
          <c:dPt>
            <c:idx val="8"/>
            <c:bubble3D val="0"/>
            <c:extLst>
              <c:ext xmlns:c16="http://schemas.microsoft.com/office/drawing/2014/chart" uri="{C3380CC4-5D6E-409C-BE32-E72D297353CC}">
                <c16:uniqueId val="{00000025-31A5-497A-8C63-0D1B1044B31C}"/>
              </c:ext>
            </c:extLst>
          </c:dPt>
          <c:cat>
            <c:strRef>
              <c:f>'pivot table'!$L$8:$L$16</c:f>
              <c:strCache>
                <c:ptCount val="8"/>
                <c:pt idx="0">
                  <c:v>Blush</c:v>
                </c:pt>
                <c:pt idx="1">
                  <c:v>Concealer</c:v>
                </c:pt>
                <c:pt idx="2">
                  <c:v>Eyeliner</c:v>
                </c:pt>
                <c:pt idx="3">
                  <c:v>Eyeshadow</c:v>
                </c:pt>
                <c:pt idx="4">
                  <c:v>Foundation</c:v>
                </c:pt>
                <c:pt idx="5">
                  <c:v>Highlighter</c:v>
                </c:pt>
                <c:pt idx="6">
                  <c:v>Lipstick</c:v>
                </c:pt>
                <c:pt idx="7">
                  <c:v>Mascara</c:v>
                </c:pt>
              </c:strCache>
            </c:strRef>
          </c:cat>
          <c:val>
            <c:numRef>
              <c:f>'pivot table'!$M$8:$M$16</c:f>
              <c:numCache>
                <c:formatCode>General</c:formatCode>
                <c:ptCount val="8"/>
                <c:pt idx="0">
                  <c:v>89158.260000000009</c:v>
                </c:pt>
                <c:pt idx="1">
                  <c:v>98215.87999999999</c:v>
                </c:pt>
                <c:pt idx="2">
                  <c:v>104735.62000000001</c:v>
                </c:pt>
                <c:pt idx="3">
                  <c:v>104839.02000000005</c:v>
                </c:pt>
                <c:pt idx="4">
                  <c:v>96756.969999999987</c:v>
                </c:pt>
                <c:pt idx="5">
                  <c:v>99516.430000000051</c:v>
                </c:pt>
                <c:pt idx="6">
                  <c:v>83831.250000000029</c:v>
                </c:pt>
                <c:pt idx="7">
                  <c:v>116135.06999999996</c:v>
                </c:pt>
              </c:numCache>
            </c:numRef>
          </c:val>
          <c:extLst>
            <c:ext xmlns:c16="http://schemas.microsoft.com/office/drawing/2014/chart" uri="{C3380CC4-5D6E-409C-BE32-E72D297353CC}">
              <c16:uniqueId val="{00000026-31A5-497A-8C63-0D1B1044B31C}"/>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[Makep Dashboard.xlsx]pivot table!PivotTable3</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table'!$Q$7</c:f>
              <c:strCache>
                <c:ptCount val="1"/>
                <c:pt idx="0">
                  <c:v>Total</c:v>
                </c:pt>
              </c:strCache>
            </c:strRef>
          </c:tx>
          <c:spPr>
            <a:solidFill>
              <a:schemeClr val="accent1"/>
            </a:solidFill>
            <a:ln>
              <a:noFill/>
            </a:ln>
            <a:effectLst/>
          </c:spPr>
          <c:invertIfNegative val="0"/>
          <c:cat>
            <c:strRef>
              <c:f>'pivot table'!$P$8:$P$12</c:f>
              <c:strCache>
                <c:ptCount val="4"/>
                <c:pt idx="0">
                  <c:v>Beauty Salon</c:v>
                </c:pt>
                <c:pt idx="1">
                  <c:v>Mall</c:v>
                </c:pt>
                <c:pt idx="2">
                  <c:v>Online</c:v>
                </c:pt>
                <c:pt idx="3">
                  <c:v>Retail Store</c:v>
                </c:pt>
              </c:strCache>
            </c:strRef>
          </c:cat>
          <c:val>
            <c:numRef>
              <c:f>'pivot table'!$Q$8:$Q$12</c:f>
              <c:numCache>
                <c:formatCode>General</c:formatCode>
                <c:ptCount val="4"/>
                <c:pt idx="0">
                  <c:v>175949.00999999995</c:v>
                </c:pt>
                <c:pt idx="1">
                  <c:v>189931.46000000005</c:v>
                </c:pt>
                <c:pt idx="2">
                  <c:v>224882.60000000006</c:v>
                </c:pt>
                <c:pt idx="3">
                  <c:v>202425.42999999996</c:v>
                </c:pt>
              </c:numCache>
            </c:numRef>
          </c:val>
          <c:extLst>
            <c:ext xmlns:c16="http://schemas.microsoft.com/office/drawing/2014/chart" uri="{C3380CC4-5D6E-409C-BE32-E72D297353CC}">
              <c16:uniqueId val="{00000002-62C5-4C7E-BA7B-D2437325907B}"/>
            </c:ext>
          </c:extLst>
        </c:ser>
        <c:dLbls>
          <c:showLegendKey val="0"/>
          <c:showVal val="0"/>
          <c:showCatName val="0"/>
          <c:showSerName val="0"/>
          <c:showPercent val="0"/>
          <c:showBubbleSize val="0"/>
        </c:dLbls>
        <c:gapWidth val="182"/>
        <c:axId val="539989216"/>
        <c:axId val="539984416"/>
      </c:barChart>
      <c:catAx>
        <c:axId val="53998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984416"/>
        <c:crosses val="autoZero"/>
        <c:auto val="1"/>
        <c:lblAlgn val="ctr"/>
        <c:lblOffset val="100"/>
        <c:noMultiLvlLbl val="0"/>
      </c:catAx>
      <c:valAx>
        <c:axId val="539984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98921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[Makep Dashboard.xlsx]pivot table!PivotTable4</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table'!$V$7</c:f>
              <c:strCache>
                <c:ptCount val="1"/>
                <c:pt idx="0">
                  <c:v>Total</c:v>
                </c:pt>
              </c:strCache>
            </c:strRef>
          </c:tx>
          <c:spPr>
            <a:solidFill>
              <a:schemeClr val="accent1"/>
            </a:solidFill>
            <a:ln>
              <a:noFill/>
            </a:ln>
            <a:effectLst/>
          </c:spPr>
          <c:invertIfNegative val="0"/>
          <c:cat>
            <c:strRef>
              <c:f>'pivot table'!$U$8:$U$16</c:f>
              <c:strCache>
                <c:ptCount val="8"/>
                <c:pt idx="0">
                  <c:v>Canada</c:v>
                </c:pt>
                <c:pt idx="1">
                  <c:v>France</c:v>
                </c:pt>
                <c:pt idx="2">
                  <c:v>Germany</c:v>
                </c:pt>
                <c:pt idx="3">
                  <c:v>India</c:v>
                </c:pt>
                <c:pt idx="4">
                  <c:v>Saudi Arabia</c:v>
                </c:pt>
                <c:pt idx="5">
                  <c:v>UAE</c:v>
                </c:pt>
                <c:pt idx="6">
                  <c:v>UK</c:v>
                </c:pt>
                <c:pt idx="7">
                  <c:v>USA</c:v>
                </c:pt>
              </c:strCache>
            </c:strRef>
          </c:cat>
          <c:val>
            <c:numRef>
              <c:f>'pivot table'!$V$8:$V$16</c:f>
              <c:numCache>
                <c:formatCode>General</c:formatCode>
                <c:ptCount val="8"/>
                <c:pt idx="0">
                  <c:v>85349.389999999985</c:v>
                </c:pt>
                <c:pt idx="1">
                  <c:v>80364.06</c:v>
                </c:pt>
                <c:pt idx="2">
                  <c:v>92125.729999999967</c:v>
                </c:pt>
                <c:pt idx="3">
                  <c:v>109638.23000000003</c:v>
                </c:pt>
                <c:pt idx="4">
                  <c:v>120778.08000000002</c:v>
                </c:pt>
                <c:pt idx="5">
                  <c:v>93567.94</c:v>
                </c:pt>
                <c:pt idx="6">
                  <c:v>115359.56000000001</c:v>
                </c:pt>
                <c:pt idx="7">
                  <c:v>96005.510000000009</c:v>
                </c:pt>
              </c:numCache>
            </c:numRef>
          </c:val>
          <c:extLst>
            <c:ext xmlns:c16="http://schemas.microsoft.com/office/drawing/2014/chart" uri="{C3380CC4-5D6E-409C-BE32-E72D297353CC}">
              <c16:uniqueId val="{00000000-41B5-4E9C-AC7C-393752434F8D}"/>
            </c:ext>
          </c:extLst>
        </c:ser>
        <c:dLbls>
          <c:showLegendKey val="0"/>
          <c:showVal val="0"/>
          <c:showCatName val="0"/>
          <c:showSerName val="0"/>
          <c:showPercent val="0"/>
          <c:showBubbleSize val="0"/>
        </c:dLbls>
        <c:gapWidth val="182"/>
        <c:axId val="539989216"/>
        <c:axId val="539984416"/>
      </c:barChart>
      <c:catAx>
        <c:axId val="539989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984416"/>
        <c:crosses val="autoZero"/>
        <c:auto val="1"/>
        <c:lblAlgn val="ctr"/>
        <c:lblOffset val="100"/>
        <c:noMultiLvlLbl val="0"/>
      </c:catAx>
      <c:valAx>
        <c:axId val="539984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98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[Makep Dashboard.xlsx]pivot table!PivotTable8</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stacked"/>
        <c:varyColors val="0"/>
        <c:ser>
          <c:idx val="0"/>
          <c:order val="0"/>
          <c:tx>
            <c:strRef>
              <c:f>'pivot table'!$B$53</c:f>
              <c:strCache>
                <c:ptCount val="1"/>
                <c:pt idx="0">
                  <c:v>Total</c:v>
                </c:pt>
              </c:strCache>
            </c:strRef>
          </c:tx>
          <c:spPr>
            <a:solidFill>
              <a:schemeClr val="accent1"/>
            </a:solidFill>
            <a:ln>
              <a:noFill/>
            </a:ln>
            <a:effectLst/>
          </c:spPr>
          <c:invertIfNegative val="0"/>
          <c:cat>
            <c:strRef>
              <c:f>'pivot table'!$A$54:$A$62</c:f>
              <c:strCache>
                <c:ptCount val="8"/>
                <c:pt idx="0">
                  <c:v>Blush</c:v>
                </c:pt>
                <c:pt idx="1">
                  <c:v>Concealer</c:v>
                </c:pt>
                <c:pt idx="2">
                  <c:v>Eyeliner</c:v>
                </c:pt>
                <c:pt idx="3">
                  <c:v>Eyeshadow</c:v>
                </c:pt>
                <c:pt idx="4">
                  <c:v>Foundation</c:v>
                </c:pt>
                <c:pt idx="5">
                  <c:v>Highlighter</c:v>
                </c:pt>
                <c:pt idx="6">
                  <c:v>Lipstick</c:v>
                </c:pt>
                <c:pt idx="7">
                  <c:v>Mascara</c:v>
                </c:pt>
              </c:strCache>
            </c:strRef>
          </c:cat>
          <c:val>
            <c:numRef>
              <c:f>'pivot table'!$B$54:$B$62</c:f>
              <c:numCache>
                <c:formatCode>General</c:formatCode>
                <c:ptCount val="8"/>
                <c:pt idx="0">
                  <c:v>89158.260000000009</c:v>
                </c:pt>
                <c:pt idx="1">
                  <c:v>98215.87999999999</c:v>
                </c:pt>
                <c:pt idx="2">
                  <c:v>104735.62000000001</c:v>
                </c:pt>
                <c:pt idx="3">
                  <c:v>104839.02000000005</c:v>
                </c:pt>
                <c:pt idx="4">
                  <c:v>96756.969999999987</c:v>
                </c:pt>
                <c:pt idx="5">
                  <c:v>99516.430000000051</c:v>
                </c:pt>
                <c:pt idx="6">
                  <c:v>83831.250000000029</c:v>
                </c:pt>
                <c:pt idx="7">
                  <c:v>116135.06999999996</c:v>
                </c:pt>
              </c:numCache>
            </c:numRef>
          </c:val>
          <c:extLst>
            <c:ext xmlns:c16="http://schemas.microsoft.com/office/drawing/2014/chart" uri="{C3380CC4-5D6E-409C-BE32-E72D297353CC}">
              <c16:uniqueId val="{00000006-3C44-40A8-8F15-6C3A73350D2E}"/>
            </c:ext>
          </c:extLst>
        </c:ser>
        <c:dLbls>
          <c:showLegendKey val="0"/>
          <c:showVal val="0"/>
          <c:showCatName val="0"/>
          <c:showSerName val="0"/>
          <c:showPercent val="0"/>
          <c:showBubbleSize val="0"/>
        </c:dLbls>
        <c:gapWidth val="150"/>
        <c:overlap val="100"/>
        <c:axId val="106637072"/>
        <c:axId val="106646672"/>
      </c:barChart>
      <c:catAx>
        <c:axId val="106637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46672"/>
        <c:crosses val="autoZero"/>
        <c:auto val="1"/>
        <c:lblAlgn val="ctr"/>
        <c:lblOffset val="100"/>
        <c:noMultiLvlLbl val="0"/>
      </c:catAx>
      <c:valAx>
        <c:axId val="106646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37072"/>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[Makep Dashboard.xlsx]pivot table!PivotTable9</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133134758235748"/>
          <c:y val="0.20375535183941657"/>
          <c:w val="0.76836913738222112"/>
          <c:h val="0.63677038168528499"/>
        </c:manualLayout>
      </c:layout>
      <c:barChart>
        <c:barDir val="bar"/>
        <c:grouping val="stacked"/>
        <c:varyColors val="0"/>
        <c:ser>
          <c:idx val="0"/>
          <c:order val="0"/>
          <c:tx>
            <c:strRef>
              <c:f>'pivot table'!$I$53</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table'!$H$54:$H$62</c:f>
              <c:strCache>
                <c:ptCount val="8"/>
                <c:pt idx="0">
                  <c:v>Dior</c:v>
                </c:pt>
                <c:pt idx="1">
                  <c:v>Estee Lauder</c:v>
                </c:pt>
                <c:pt idx="2">
                  <c:v>Fenty Beauty</c:v>
                </c:pt>
                <c:pt idx="3">
                  <c:v>Huda Beauty</c:v>
                </c:pt>
                <c:pt idx="4">
                  <c:v>L'Oreal</c:v>
                </c:pt>
                <c:pt idx="5">
                  <c:v>MAC</c:v>
                </c:pt>
                <c:pt idx="6">
                  <c:v>Maybelline</c:v>
                </c:pt>
                <c:pt idx="7">
                  <c:v>NARS</c:v>
                </c:pt>
              </c:strCache>
            </c:strRef>
          </c:cat>
          <c:val>
            <c:numRef>
              <c:f>'pivot table'!$I$54:$I$62</c:f>
              <c:numCache>
                <c:formatCode>General</c:formatCode>
                <c:ptCount val="8"/>
                <c:pt idx="0">
                  <c:v>99810.989999999991</c:v>
                </c:pt>
                <c:pt idx="1">
                  <c:v>86983.48</c:v>
                </c:pt>
                <c:pt idx="2">
                  <c:v>95001.670000000056</c:v>
                </c:pt>
                <c:pt idx="3">
                  <c:v>76357.170000000013</c:v>
                </c:pt>
                <c:pt idx="4">
                  <c:v>123593.2</c:v>
                </c:pt>
                <c:pt idx="5">
                  <c:v>155245.81000000006</c:v>
                </c:pt>
                <c:pt idx="6">
                  <c:v>67403.560000000012</c:v>
                </c:pt>
                <c:pt idx="7">
                  <c:v>88792.62000000001</c:v>
                </c:pt>
              </c:numCache>
            </c:numRef>
          </c:val>
          <c:extLst>
            <c:ext xmlns:c16="http://schemas.microsoft.com/office/drawing/2014/chart" uri="{C3380CC4-5D6E-409C-BE32-E72D297353CC}">
              <c16:uniqueId val="{00000000-2F0A-4251-8570-C2D83CD54116}"/>
            </c:ext>
          </c:extLst>
        </c:ser>
        <c:dLbls>
          <c:dLblPos val="ctr"/>
          <c:showLegendKey val="0"/>
          <c:showVal val="1"/>
          <c:showCatName val="0"/>
          <c:showSerName val="0"/>
          <c:showPercent val="0"/>
          <c:showBubbleSize val="0"/>
        </c:dLbls>
        <c:gapWidth val="150"/>
        <c:overlap val="100"/>
        <c:axId val="106637072"/>
        <c:axId val="106646672"/>
      </c:barChart>
      <c:catAx>
        <c:axId val="106637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46672"/>
        <c:crosses val="autoZero"/>
        <c:auto val="1"/>
        <c:lblAlgn val="ctr"/>
        <c:lblOffset val="100"/>
        <c:noMultiLvlLbl val="0"/>
      </c:catAx>
      <c:valAx>
        <c:axId val="106646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3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[Makep Dashboard.xlsx]pivot table!PivotTable10</c:name>
    <c:fmtId val="3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table'!$N$53</c:f>
              <c:strCache>
                <c:ptCount val="1"/>
                <c:pt idx="0">
                  <c:v>Total</c:v>
                </c:pt>
              </c:strCache>
            </c:strRef>
          </c:tx>
          <c:spPr>
            <a:solidFill>
              <a:schemeClr val="accent1"/>
            </a:solidFill>
            <a:ln>
              <a:noFill/>
            </a:ln>
            <a:effectLst/>
          </c:spPr>
          <c:invertIfNegative val="0"/>
          <c:cat>
            <c:strRef>
              <c:f>'pivot table'!$M$54:$M$62</c:f>
              <c:strCache>
                <c:ptCount val="8"/>
                <c:pt idx="0">
                  <c:v>Blush</c:v>
                </c:pt>
                <c:pt idx="1">
                  <c:v>Concealer</c:v>
                </c:pt>
                <c:pt idx="2">
                  <c:v>Eyeliner</c:v>
                </c:pt>
                <c:pt idx="3">
                  <c:v>Eyeshadow</c:v>
                </c:pt>
                <c:pt idx="4">
                  <c:v>Foundation</c:v>
                </c:pt>
                <c:pt idx="5">
                  <c:v>Highlighter</c:v>
                </c:pt>
                <c:pt idx="6">
                  <c:v>Lipstick</c:v>
                </c:pt>
                <c:pt idx="7">
                  <c:v>Mascara</c:v>
                </c:pt>
              </c:strCache>
            </c:strRef>
          </c:cat>
          <c:val>
            <c:numRef>
              <c:f>'pivot table'!$N$54:$N$62</c:f>
              <c:numCache>
                <c:formatCode>General</c:formatCode>
                <c:ptCount val="8"/>
                <c:pt idx="0">
                  <c:v>1453</c:v>
                </c:pt>
                <c:pt idx="1">
                  <c:v>1352</c:v>
                </c:pt>
                <c:pt idx="2">
                  <c:v>1646</c:v>
                </c:pt>
                <c:pt idx="3">
                  <c:v>1716</c:v>
                </c:pt>
                <c:pt idx="4">
                  <c:v>1523</c:v>
                </c:pt>
                <c:pt idx="5">
                  <c:v>1526</c:v>
                </c:pt>
                <c:pt idx="6">
                  <c:v>1592</c:v>
                </c:pt>
                <c:pt idx="7">
                  <c:v>1900</c:v>
                </c:pt>
              </c:numCache>
            </c:numRef>
          </c:val>
          <c:extLst>
            <c:ext xmlns:c16="http://schemas.microsoft.com/office/drawing/2014/chart" uri="{C3380CC4-5D6E-409C-BE32-E72D297353CC}">
              <c16:uniqueId val="{00000000-1D48-4068-8B18-6AE930AF5585}"/>
            </c:ext>
          </c:extLst>
        </c:ser>
        <c:dLbls>
          <c:showLegendKey val="0"/>
          <c:showVal val="0"/>
          <c:showCatName val="0"/>
          <c:showSerName val="0"/>
          <c:showPercent val="0"/>
          <c:showBubbleSize val="0"/>
        </c:dLbls>
        <c:gapWidth val="219"/>
        <c:overlap val="-27"/>
        <c:axId val="895625680"/>
        <c:axId val="895634320"/>
      </c:barChart>
      <c:catAx>
        <c:axId val="895625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634320"/>
        <c:crosses val="autoZero"/>
        <c:auto val="1"/>
        <c:lblAlgn val="ctr"/>
        <c:lblOffset val="100"/>
        <c:noMultiLvlLbl val="0"/>
      </c:catAx>
      <c:valAx>
        <c:axId val="89563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5625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[Makep Dashboard.xlsx]pivot table!PivotTable11</c:name>
    <c:fmtId val="41"/>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manualLayout>
          <c:layoutTarget val="inner"/>
          <c:xMode val="edge"/>
          <c:yMode val="edge"/>
          <c:x val="2.4867721345237986E-2"/>
          <c:y val="0.26553040244969378"/>
          <c:w val="0.7475926283458344"/>
          <c:h val="0.68354367162438023"/>
        </c:manualLayout>
      </c:layout>
      <c:ofPieChart>
        <c:ofPieType val="pie"/>
        <c:varyColors val="1"/>
        <c:ser>
          <c:idx val="0"/>
          <c:order val="0"/>
          <c:tx>
            <c:strRef>
              <c:f>'pivot table'!$T$53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86-4592-9BB9-56D546D96B2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86-4592-9BB9-56D546D96B2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86-4592-9BB9-56D546D96B2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86-4592-9BB9-56D546D96B2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D86-4592-9BB9-56D546D96B2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D86-4592-9BB9-56D546D96B2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D86-4592-9BB9-56D546D96B2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D86-4592-9BB9-56D546D96B2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D86-4592-9BB9-56D546D96B27}"/>
              </c:ext>
            </c:extLst>
          </c:dPt>
          <c:cat>
            <c:strRef>
              <c:f>'pivot table'!$S$54:$S$62</c:f>
              <c:strCache>
                <c:ptCount val="8"/>
                <c:pt idx="0">
                  <c:v>Blush</c:v>
                </c:pt>
                <c:pt idx="1">
                  <c:v>Concealer</c:v>
                </c:pt>
                <c:pt idx="2">
                  <c:v>Eyeliner</c:v>
                </c:pt>
                <c:pt idx="3">
                  <c:v>Eyeshadow</c:v>
                </c:pt>
                <c:pt idx="4">
                  <c:v>Foundation</c:v>
                </c:pt>
                <c:pt idx="5">
                  <c:v>Highlighter</c:v>
                </c:pt>
                <c:pt idx="6">
                  <c:v>Lipstick</c:v>
                </c:pt>
                <c:pt idx="7">
                  <c:v>Mascara</c:v>
                </c:pt>
              </c:strCache>
            </c:strRef>
          </c:cat>
          <c:val>
            <c:numRef>
              <c:f>'pivot table'!$T$54:$T$62</c:f>
              <c:numCache>
                <c:formatCode>General</c:formatCode>
                <c:ptCount val="8"/>
                <c:pt idx="0">
                  <c:v>89158.260000000009</c:v>
                </c:pt>
                <c:pt idx="1">
                  <c:v>98215.87999999999</c:v>
                </c:pt>
                <c:pt idx="2">
                  <c:v>104735.62000000001</c:v>
                </c:pt>
                <c:pt idx="3">
                  <c:v>104839.02000000005</c:v>
                </c:pt>
                <c:pt idx="4">
                  <c:v>96756.969999999987</c:v>
                </c:pt>
                <c:pt idx="5">
                  <c:v>99516.430000000051</c:v>
                </c:pt>
                <c:pt idx="6">
                  <c:v>83831.250000000029</c:v>
                </c:pt>
                <c:pt idx="7">
                  <c:v>116135.06999999996</c:v>
                </c:pt>
              </c:numCache>
            </c:numRef>
          </c:val>
          <c:extLst>
            <c:ext xmlns:c16="http://schemas.microsoft.com/office/drawing/2014/chart" uri="{C3380CC4-5D6E-409C-BE32-E72D297353CC}">
              <c16:uniqueId val="{00000012-BD86-4592-9BB9-56D546D96B27}"/>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[Makep Dashboard.xlsx]pivot table!PivotTable12</c:name>
    <c:fmtId val="4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table'!$C$84</c:f>
              <c:strCache>
                <c:ptCount val="1"/>
                <c:pt idx="0">
                  <c:v>Total</c:v>
                </c:pt>
              </c:strCache>
            </c:strRef>
          </c:tx>
          <c:spPr>
            <a:solidFill>
              <a:schemeClr val="dk1">
                <a:tint val="885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table'!$B$85:$B$88</c:f>
              <c:strCache>
                <c:ptCount val="3"/>
                <c:pt idx="0">
                  <c:v>Card</c:v>
                </c:pt>
                <c:pt idx="1">
                  <c:v>Cash</c:v>
                </c:pt>
                <c:pt idx="2">
                  <c:v>Digital Wallet</c:v>
                </c:pt>
              </c:strCache>
            </c:strRef>
          </c:cat>
          <c:val>
            <c:numRef>
              <c:f>'pivot table'!$C$85:$C$88</c:f>
              <c:numCache>
                <c:formatCode>General</c:formatCode>
                <c:ptCount val="3"/>
                <c:pt idx="0">
                  <c:v>282921.9599999999</c:v>
                </c:pt>
                <c:pt idx="1">
                  <c:v>219738.83000000007</c:v>
                </c:pt>
                <c:pt idx="2">
                  <c:v>290527.70999999996</c:v>
                </c:pt>
              </c:numCache>
            </c:numRef>
          </c:val>
          <c:extLst>
            <c:ext xmlns:c16="http://schemas.microsoft.com/office/drawing/2014/chart" uri="{C3380CC4-5D6E-409C-BE32-E72D297353CC}">
              <c16:uniqueId val="{00000000-2FA5-4DEC-AB9D-6347C821CE8E}"/>
            </c:ext>
          </c:extLst>
        </c:ser>
        <c:dLbls>
          <c:dLblPos val="inEnd"/>
          <c:showLegendKey val="0"/>
          <c:showVal val="1"/>
          <c:showCatName val="0"/>
          <c:showSerName val="0"/>
          <c:showPercent val="0"/>
          <c:showBubbleSize val="0"/>
        </c:dLbls>
        <c:gapWidth val="65"/>
        <c:axId val="2054212496"/>
        <c:axId val="2054212976"/>
      </c:barChart>
      <c:catAx>
        <c:axId val="205421249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54212976"/>
        <c:crosses val="autoZero"/>
        <c:auto val="1"/>
        <c:lblAlgn val="ctr"/>
        <c:lblOffset val="100"/>
        <c:noMultiLvlLbl val="0"/>
      </c:catAx>
      <c:valAx>
        <c:axId val="205421297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5421249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[Makep Dashboard.xlsx]pivot table!PivotTable13</c:name>
    <c:fmtId val="5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69203849518807"/>
          <c:y val="0.18458114610673665"/>
          <c:w val="0.73816426071741037"/>
          <c:h val="0.48725758238553513"/>
        </c:manualLayout>
      </c:layout>
      <c:barChart>
        <c:barDir val="col"/>
        <c:grouping val="clustered"/>
        <c:varyColors val="0"/>
        <c:ser>
          <c:idx val="0"/>
          <c:order val="0"/>
          <c:tx>
            <c:strRef>
              <c:f>'pivot table'!$H$84</c:f>
              <c:strCache>
                <c:ptCount val="1"/>
                <c:pt idx="0">
                  <c:v>Total</c:v>
                </c:pt>
              </c:strCache>
            </c:strRef>
          </c:tx>
          <c:spPr>
            <a:solidFill>
              <a:schemeClr val="accent1"/>
            </a:solidFill>
            <a:ln>
              <a:noFill/>
            </a:ln>
            <a:effectLst/>
          </c:spPr>
          <c:invertIfNegative val="0"/>
          <c:cat>
            <c:strRef>
              <c:f>'pivot table'!$G$85:$G$93</c:f>
              <c:strCache>
                <c:ptCount val="8"/>
                <c:pt idx="0">
                  <c:v>Canada</c:v>
                </c:pt>
                <c:pt idx="1">
                  <c:v>France</c:v>
                </c:pt>
                <c:pt idx="2">
                  <c:v>Germany</c:v>
                </c:pt>
                <c:pt idx="3">
                  <c:v>India</c:v>
                </c:pt>
                <c:pt idx="4">
                  <c:v>Saudi Arabia</c:v>
                </c:pt>
                <c:pt idx="5">
                  <c:v>UAE</c:v>
                </c:pt>
                <c:pt idx="6">
                  <c:v>UK</c:v>
                </c:pt>
                <c:pt idx="7">
                  <c:v>USA</c:v>
                </c:pt>
              </c:strCache>
            </c:strRef>
          </c:cat>
          <c:val>
            <c:numRef>
              <c:f>'pivot table'!$H$85:$H$93</c:f>
              <c:numCache>
                <c:formatCode>General</c:formatCode>
                <c:ptCount val="8"/>
                <c:pt idx="0">
                  <c:v>85349.389999999985</c:v>
                </c:pt>
                <c:pt idx="1">
                  <c:v>80364.06</c:v>
                </c:pt>
                <c:pt idx="2">
                  <c:v>92125.729999999967</c:v>
                </c:pt>
                <c:pt idx="3">
                  <c:v>109638.23000000003</c:v>
                </c:pt>
                <c:pt idx="4">
                  <c:v>120778.08000000002</c:v>
                </c:pt>
                <c:pt idx="5">
                  <c:v>93567.94</c:v>
                </c:pt>
                <c:pt idx="6">
                  <c:v>115359.56000000001</c:v>
                </c:pt>
                <c:pt idx="7">
                  <c:v>96005.510000000009</c:v>
                </c:pt>
              </c:numCache>
            </c:numRef>
          </c:val>
          <c:extLst>
            <c:ext xmlns:c16="http://schemas.microsoft.com/office/drawing/2014/chart" uri="{C3380CC4-5D6E-409C-BE32-E72D297353CC}">
              <c16:uniqueId val="{00000000-6124-435C-A575-283F46D4E069}"/>
            </c:ext>
          </c:extLst>
        </c:ser>
        <c:dLbls>
          <c:showLegendKey val="0"/>
          <c:showVal val="0"/>
          <c:showCatName val="0"/>
          <c:showSerName val="0"/>
          <c:showPercent val="0"/>
          <c:showBubbleSize val="0"/>
        </c:dLbls>
        <c:gapWidth val="219"/>
        <c:overlap val="-27"/>
        <c:axId val="1129491184"/>
        <c:axId val="1129491664"/>
      </c:barChart>
      <c:catAx>
        <c:axId val="112949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491664"/>
        <c:crosses val="autoZero"/>
        <c:auto val="1"/>
        <c:lblAlgn val="ctr"/>
        <c:lblOffset val="100"/>
        <c:noMultiLvlLbl val="0"/>
      </c:catAx>
      <c:valAx>
        <c:axId val="1129491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49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[Makep Dashboard.xlsx]pivot table!PivotTable14</c:name>
    <c:fmtId val="5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table'!$L$86</c:f>
              <c:strCache>
                <c:ptCount val="1"/>
                <c:pt idx="0">
                  <c:v>Total</c:v>
                </c:pt>
              </c:strCache>
            </c:strRef>
          </c:tx>
          <c:spPr>
            <a:solidFill>
              <a:schemeClr val="accent1"/>
            </a:solidFill>
            <a:ln>
              <a:noFill/>
            </a:ln>
            <a:effectLst/>
          </c:spPr>
          <c:invertIfNegative val="0"/>
          <c:cat>
            <c:strRef>
              <c:f>'pivot table'!$K$87:$K$90</c:f>
              <c:strCache>
                <c:ptCount val="3"/>
                <c:pt idx="0">
                  <c:v>Card</c:v>
                </c:pt>
                <c:pt idx="1">
                  <c:v>Cash</c:v>
                </c:pt>
                <c:pt idx="2">
                  <c:v>Digital Wallet</c:v>
                </c:pt>
              </c:strCache>
            </c:strRef>
          </c:cat>
          <c:val>
            <c:numRef>
              <c:f>'pivot table'!$L$87:$L$90</c:f>
              <c:numCache>
                <c:formatCode>General</c:formatCode>
                <c:ptCount val="3"/>
                <c:pt idx="0">
                  <c:v>4592</c:v>
                </c:pt>
                <c:pt idx="1">
                  <c:v>3593</c:v>
                </c:pt>
                <c:pt idx="2">
                  <c:v>4523</c:v>
                </c:pt>
              </c:numCache>
            </c:numRef>
          </c:val>
          <c:extLst>
            <c:ext xmlns:c16="http://schemas.microsoft.com/office/drawing/2014/chart" uri="{C3380CC4-5D6E-409C-BE32-E72D297353CC}">
              <c16:uniqueId val="{00000000-36FE-4143-BD9E-41938626595A}"/>
            </c:ext>
          </c:extLst>
        </c:ser>
        <c:dLbls>
          <c:showLegendKey val="0"/>
          <c:showVal val="0"/>
          <c:showCatName val="0"/>
          <c:showSerName val="0"/>
          <c:showPercent val="0"/>
          <c:showBubbleSize val="0"/>
        </c:dLbls>
        <c:gapWidth val="182"/>
        <c:axId val="1129392784"/>
        <c:axId val="1129394704"/>
      </c:barChart>
      <c:catAx>
        <c:axId val="1129392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394704"/>
        <c:crosses val="autoZero"/>
        <c:auto val="1"/>
        <c:lblAlgn val="ctr"/>
        <c:lblOffset val="100"/>
        <c:noMultiLvlLbl val="0"/>
      </c:catAx>
      <c:valAx>
        <c:axId val="1129394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39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[Makep Dashboard.xlsx]pivot table!PivotTable15</c:name>
    <c:fmtId val="6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table'!$Q$86</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table'!$P$87:$P$95</c:f>
              <c:strCache>
                <c:ptCount val="8"/>
                <c:pt idx="0">
                  <c:v>Dior</c:v>
                </c:pt>
                <c:pt idx="1">
                  <c:v>Estee Lauder</c:v>
                </c:pt>
                <c:pt idx="2">
                  <c:v>Fenty Beauty</c:v>
                </c:pt>
                <c:pt idx="3">
                  <c:v>Huda Beauty</c:v>
                </c:pt>
                <c:pt idx="4">
                  <c:v>L'Oreal</c:v>
                </c:pt>
                <c:pt idx="5">
                  <c:v>MAC</c:v>
                </c:pt>
                <c:pt idx="6">
                  <c:v>Maybelline</c:v>
                </c:pt>
                <c:pt idx="7">
                  <c:v>NARS</c:v>
                </c:pt>
              </c:strCache>
            </c:strRef>
          </c:cat>
          <c:val>
            <c:numRef>
              <c:f>'pivot table'!$Q$87:$Q$95</c:f>
              <c:numCache>
                <c:formatCode>General</c:formatCode>
                <c:ptCount val="8"/>
                <c:pt idx="0">
                  <c:v>1442</c:v>
                </c:pt>
                <c:pt idx="1">
                  <c:v>1492</c:v>
                </c:pt>
                <c:pt idx="2">
                  <c:v>1569</c:v>
                </c:pt>
                <c:pt idx="3">
                  <c:v>1394</c:v>
                </c:pt>
                <c:pt idx="4">
                  <c:v>1819</c:v>
                </c:pt>
                <c:pt idx="5">
                  <c:v>2155</c:v>
                </c:pt>
                <c:pt idx="6">
                  <c:v>1178</c:v>
                </c:pt>
                <c:pt idx="7">
                  <c:v>1659</c:v>
                </c:pt>
              </c:numCache>
            </c:numRef>
          </c:val>
          <c:extLst>
            <c:ext xmlns:c16="http://schemas.microsoft.com/office/drawing/2014/chart" uri="{C3380CC4-5D6E-409C-BE32-E72D297353CC}">
              <c16:uniqueId val="{00000000-DF79-4DB9-AF2F-B3B3A3FC2A93}"/>
            </c:ext>
          </c:extLst>
        </c:ser>
        <c:dLbls>
          <c:dLblPos val="outEnd"/>
          <c:showLegendKey val="0"/>
          <c:showVal val="1"/>
          <c:showCatName val="0"/>
          <c:showSerName val="0"/>
          <c:showPercent val="0"/>
          <c:showBubbleSize val="0"/>
        </c:dLbls>
        <c:gapWidth val="269"/>
        <c:overlap val="-20"/>
        <c:axId val="1129403824"/>
        <c:axId val="1129408624"/>
      </c:barChart>
      <c:catAx>
        <c:axId val="112940382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29408624"/>
        <c:crosses val="autoZero"/>
        <c:auto val="1"/>
        <c:lblAlgn val="ctr"/>
        <c:lblOffset val="100"/>
        <c:noMultiLvlLbl val="0"/>
      </c:catAx>
      <c:valAx>
        <c:axId val="1129408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2940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image" Target="../media/image3.jpeg"/><Relationship Id="rId7" Type="http://schemas.openxmlformats.org/officeDocument/2006/relationships/chart" Target="../charts/chart1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4" Type="http://schemas.openxmlformats.org/officeDocument/2006/relationships/chart" Target="../charts/chart2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chart" Target="../charts/chart26.xml"/></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53340</xdr:rowOff>
    </xdr:from>
    <xdr:to>
      <xdr:col>3</xdr:col>
      <xdr:colOff>190500</xdr:colOff>
      <xdr:row>25</xdr:row>
      <xdr:rowOff>7620</xdr:rowOff>
    </xdr:to>
    <xdr:graphicFrame macro="">
      <xdr:nvGraphicFramePr>
        <xdr:cNvPr id="2" name="Chart 1">
          <a:extLst>
            <a:ext uri="{FF2B5EF4-FFF2-40B4-BE49-F238E27FC236}">
              <a16:creationId xmlns:a16="http://schemas.microsoft.com/office/drawing/2014/main" id="{8E8EB115-76D0-8EF5-AFCF-088BDBF8A7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381000</xdr:colOff>
      <xdr:row>1</xdr:row>
      <xdr:rowOff>114300</xdr:rowOff>
    </xdr:from>
    <xdr:to>
      <xdr:col>8</xdr:col>
      <xdr:colOff>273672</xdr:colOff>
      <xdr:row>9</xdr:row>
      <xdr:rowOff>22860</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5ED08904-76DB-C7D3-A22C-C530353C32A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823298" y="300747"/>
              <a:ext cx="3329778" cy="140013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5</xdr:col>
      <xdr:colOff>15240</xdr:colOff>
      <xdr:row>21</xdr:row>
      <xdr:rowOff>87630</xdr:rowOff>
    </xdr:from>
    <xdr:to>
      <xdr:col>9</xdr:col>
      <xdr:colOff>358140</xdr:colOff>
      <xdr:row>34</xdr:row>
      <xdr:rowOff>53340</xdr:rowOff>
    </xdr:to>
    <xdr:graphicFrame macro="">
      <xdr:nvGraphicFramePr>
        <xdr:cNvPr id="4" name="Chart 3">
          <a:extLst>
            <a:ext uri="{FF2B5EF4-FFF2-40B4-BE49-F238E27FC236}">
              <a16:creationId xmlns:a16="http://schemas.microsoft.com/office/drawing/2014/main" id="{F041CE3D-E96F-2574-1BA0-A497027CEF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7620</xdr:colOff>
      <xdr:row>16</xdr:row>
      <xdr:rowOff>53340</xdr:rowOff>
    </xdr:from>
    <xdr:to>
      <xdr:col>14</xdr:col>
      <xdr:colOff>45720</xdr:colOff>
      <xdr:row>26</xdr:row>
      <xdr:rowOff>15240</xdr:rowOff>
    </xdr:to>
    <xdr:graphicFrame macro="">
      <xdr:nvGraphicFramePr>
        <xdr:cNvPr id="5" name="Chart 4">
          <a:extLst>
            <a:ext uri="{FF2B5EF4-FFF2-40B4-BE49-F238E27FC236}">
              <a16:creationId xmlns:a16="http://schemas.microsoft.com/office/drawing/2014/main" id="{797C5415-6AE7-9295-9ADB-859C94F0B6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396240</xdr:colOff>
      <xdr:row>16</xdr:row>
      <xdr:rowOff>76200</xdr:rowOff>
    </xdr:from>
    <xdr:to>
      <xdr:col>19</xdr:col>
      <xdr:colOff>350520</xdr:colOff>
      <xdr:row>29</xdr:row>
      <xdr:rowOff>129540</xdr:rowOff>
    </xdr:to>
    <xdr:graphicFrame macro="">
      <xdr:nvGraphicFramePr>
        <xdr:cNvPr id="6" name="Chart 5">
          <a:extLst>
            <a:ext uri="{FF2B5EF4-FFF2-40B4-BE49-F238E27FC236}">
              <a16:creationId xmlns:a16="http://schemas.microsoft.com/office/drawing/2014/main" id="{1A8905FF-17B5-F19C-D11B-E850D39064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571500</xdr:colOff>
      <xdr:row>16</xdr:row>
      <xdr:rowOff>83820</xdr:rowOff>
    </xdr:from>
    <xdr:to>
      <xdr:col>24</xdr:col>
      <xdr:colOff>106680</xdr:colOff>
      <xdr:row>29</xdr:row>
      <xdr:rowOff>83820</xdr:rowOff>
    </xdr:to>
    <xdr:graphicFrame macro="">
      <xdr:nvGraphicFramePr>
        <xdr:cNvPr id="7" name="Chart 6">
          <a:extLst>
            <a:ext uri="{FF2B5EF4-FFF2-40B4-BE49-F238E27FC236}">
              <a16:creationId xmlns:a16="http://schemas.microsoft.com/office/drawing/2014/main" id="{B92DABF7-6023-8CB9-65FC-65DD078E03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350520</xdr:colOff>
      <xdr:row>31</xdr:row>
      <xdr:rowOff>167640</xdr:rowOff>
    </xdr:from>
    <xdr:to>
      <xdr:col>13</xdr:col>
      <xdr:colOff>848414</xdr:colOff>
      <xdr:row>46</xdr:row>
      <xdr:rowOff>5715</xdr:rowOff>
    </xdr:to>
    <mc:AlternateContent xmlns:mc="http://schemas.openxmlformats.org/markup-compatibility/2006" xmlns:a14="http://schemas.microsoft.com/office/drawing/2010/main">
      <mc:Choice Requires="a14">
        <xdr:graphicFrame macro="">
          <xdr:nvGraphicFramePr>
            <xdr:cNvPr id="8" name="Country">
              <a:extLst>
                <a:ext uri="{FF2B5EF4-FFF2-40B4-BE49-F238E27FC236}">
                  <a16:creationId xmlns:a16="http://schemas.microsoft.com/office/drawing/2014/main" id="{98AFE49F-BF99-E108-FE13-E3D0C19FEA5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177733" y="5947491"/>
              <a:ext cx="1827341" cy="26347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563880</xdr:colOff>
      <xdr:row>31</xdr:row>
      <xdr:rowOff>160020</xdr:rowOff>
    </xdr:from>
    <xdr:to>
      <xdr:col>11</xdr:col>
      <xdr:colOff>887487</xdr:colOff>
      <xdr:row>45</xdr:row>
      <xdr:rowOff>180975</xdr:rowOff>
    </xdr:to>
    <mc:AlternateContent xmlns:mc="http://schemas.openxmlformats.org/markup-compatibility/2006" xmlns:a14="http://schemas.microsoft.com/office/drawing/2010/main">
      <mc:Choice Requires="a14">
        <xdr:graphicFrame macro="">
          <xdr:nvGraphicFramePr>
            <xdr:cNvPr id="9" name="Sales_Channel">
              <a:extLst>
                <a:ext uri="{FF2B5EF4-FFF2-40B4-BE49-F238E27FC236}">
                  <a16:creationId xmlns:a16="http://schemas.microsoft.com/office/drawing/2014/main" id="{C810C7E0-289A-A8D3-DCBE-76C96DE5CB41}"/>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9772731" y="5939871"/>
              <a:ext cx="1823288" cy="2631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62</xdr:row>
      <xdr:rowOff>38100</xdr:rowOff>
    </xdr:from>
    <xdr:to>
      <xdr:col>5</xdr:col>
      <xdr:colOff>571500</xdr:colOff>
      <xdr:row>77</xdr:row>
      <xdr:rowOff>38100</xdr:rowOff>
    </xdr:to>
    <xdr:graphicFrame macro="">
      <xdr:nvGraphicFramePr>
        <xdr:cNvPr id="10" name="Chart 9">
          <a:extLst>
            <a:ext uri="{FF2B5EF4-FFF2-40B4-BE49-F238E27FC236}">
              <a16:creationId xmlns:a16="http://schemas.microsoft.com/office/drawing/2014/main" id="{0973B6C2-F73D-7B68-8D2C-06C7956108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396240</xdr:colOff>
      <xdr:row>63</xdr:row>
      <xdr:rowOff>76200</xdr:rowOff>
    </xdr:from>
    <xdr:to>
      <xdr:col>11</xdr:col>
      <xdr:colOff>769620</xdr:colOff>
      <xdr:row>78</xdr:row>
      <xdr:rowOff>76200</xdr:rowOff>
    </xdr:to>
    <xdr:graphicFrame macro="">
      <xdr:nvGraphicFramePr>
        <xdr:cNvPr id="11" name="Chart 10">
          <a:extLst>
            <a:ext uri="{FF2B5EF4-FFF2-40B4-BE49-F238E27FC236}">
              <a16:creationId xmlns:a16="http://schemas.microsoft.com/office/drawing/2014/main" id="{D16962EF-AFF9-5557-6BFD-6DF724663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48638</xdr:colOff>
      <xdr:row>63</xdr:row>
      <xdr:rowOff>67283</xdr:rowOff>
    </xdr:from>
    <xdr:to>
      <xdr:col>16</xdr:col>
      <xdr:colOff>1151106</xdr:colOff>
      <xdr:row>78</xdr:row>
      <xdr:rowOff>13781</xdr:rowOff>
    </xdr:to>
    <xdr:graphicFrame macro="">
      <xdr:nvGraphicFramePr>
        <xdr:cNvPr id="12" name="Chart 11">
          <a:extLst>
            <a:ext uri="{FF2B5EF4-FFF2-40B4-BE49-F238E27FC236}">
              <a16:creationId xmlns:a16="http://schemas.microsoft.com/office/drawing/2014/main" id="{5FEB621E-7006-AA29-D0FE-4953F30C32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226979</xdr:colOff>
      <xdr:row>63</xdr:row>
      <xdr:rowOff>42964</xdr:rowOff>
    </xdr:from>
    <xdr:to>
      <xdr:col>21</xdr:col>
      <xdr:colOff>1207852</xdr:colOff>
      <xdr:row>77</xdr:row>
      <xdr:rowOff>175909</xdr:rowOff>
    </xdr:to>
    <xdr:graphicFrame macro="">
      <xdr:nvGraphicFramePr>
        <xdr:cNvPr id="13" name="Chart 12">
          <a:extLst>
            <a:ext uri="{FF2B5EF4-FFF2-40B4-BE49-F238E27FC236}">
              <a16:creationId xmlns:a16="http://schemas.microsoft.com/office/drawing/2014/main" id="{34AA29C9-E52E-E0C7-E3A2-2AEA3EAC5C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875490</xdr:colOff>
      <xdr:row>88</xdr:row>
      <xdr:rowOff>186446</xdr:rowOff>
    </xdr:from>
    <xdr:to>
      <xdr:col>4</xdr:col>
      <xdr:colOff>226979</xdr:colOff>
      <xdr:row>99</xdr:row>
      <xdr:rowOff>167802</xdr:rowOff>
    </xdr:to>
    <xdr:graphicFrame macro="">
      <xdr:nvGraphicFramePr>
        <xdr:cNvPr id="14" name="Chart 13">
          <a:extLst>
            <a:ext uri="{FF2B5EF4-FFF2-40B4-BE49-F238E27FC236}">
              <a16:creationId xmlns:a16="http://schemas.microsoft.com/office/drawing/2014/main" id="{7855D960-FAEA-61A5-C5C0-7AC22413B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437745</xdr:colOff>
      <xdr:row>92</xdr:row>
      <xdr:rowOff>30804</xdr:rowOff>
    </xdr:from>
    <xdr:to>
      <xdr:col>9</xdr:col>
      <xdr:colOff>243191</xdr:colOff>
      <xdr:row>106</xdr:row>
      <xdr:rowOff>163748</xdr:rowOff>
    </xdr:to>
    <xdr:graphicFrame macro="">
      <xdr:nvGraphicFramePr>
        <xdr:cNvPr id="15" name="Chart 14">
          <a:extLst>
            <a:ext uri="{FF2B5EF4-FFF2-40B4-BE49-F238E27FC236}">
              <a16:creationId xmlns:a16="http://schemas.microsoft.com/office/drawing/2014/main" id="{E2A05E9B-393C-56A5-CD9F-7D930361E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8106</xdr:colOff>
      <xdr:row>91</xdr:row>
      <xdr:rowOff>83496</xdr:rowOff>
    </xdr:from>
    <xdr:to>
      <xdr:col>14</xdr:col>
      <xdr:colOff>332361</xdr:colOff>
      <xdr:row>106</xdr:row>
      <xdr:rowOff>29994</xdr:rowOff>
    </xdr:to>
    <xdr:graphicFrame macro="">
      <xdr:nvGraphicFramePr>
        <xdr:cNvPr id="16" name="Chart 15">
          <a:extLst>
            <a:ext uri="{FF2B5EF4-FFF2-40B4-BE49-F238E27FC236}">
              <a16:creationId xmlns:a16="http://schemas.microsoft.com/office/drawing/2014/main" id="{ACBE878C-0312-DB5D-FA0D-FE043E440E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64851</xdr:colOff>
      <xdr:row>96</xdr:row>
      <xdr:rowOff>26751</xdr:rowOff>
    </xdr:from>
    <xdr:to>
      <xdr:col>19</xdr:col>
      <xdr:colOff>1126788</xdr:colOff>
      <xdr:row>110</xdr:row>
      <xdr:rowOff>159696</xdr:rowOff>
    </xdr:to>
    <xdr:graphicFrame macro="">
      <xdr:nvGraphicFramePr>
        <xdr:cNvPr id="17" name="Chart 16">
          <a:extLst>
            <a:ext uri="{FF2B5EF4-FFF2-40B4-BE49-F238E27FC236}">
              <a16:creationId xmlns:a16="http://schemas.microsoft.com/office/drawing/2014/main" id="{5DD65E3A-F1E5-706D-A8C2-B1FBC850E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182218</xdr:colOff>
      <xdr:row>1</xdr:row>
      <xdr:rowOff>86820</xdr:rowOff>
    </xdr:from>
    <xdr:to>
      <xdr:col>33</xdr:col>
      <xdr:colOff>328839</xdr:colOff>
      <xdr:row>98</xdr:row>
      <xdr:rowOff>132523</xdr:rowOff>
    </xdr:to>
    <xdr:sp macro="" textlink="">
      <xdr:nvSpPr>
        <xdr:cNvPr id="2" name="Rectangle 1">
          <a:extLst>
            <a:ext uri="{FF2B5EF4-FFF2-40B4-BE49-F238E27FC236}">
              <a16:creationId xmlns:a16="http://schemas.microsoft.com/office/drawing/2014/main" id="{DDCD7016-DE8C-4F63-85E1-605C159F9771}"/>
            </a:ext>
          </a:extLst>
        </xdr:cNvPr>
        <xdr:cNvSpPr/>
      </xdr:nvSpPr>
      <xdr:spPr>
        <a:xfrm>
          <a:off x="2633870" y="269037"/>
          <a:ext cx="20389317" cy="1772079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414130</xdr:colOff>
      <xdr:row>1</xdr:row>
      <xdr:rowOff>99392</xdr:rowOff>
    </xdr:from>
    <xdr:to>
      <xdr:col>33</xdr:col>
      <xdr:colOff>314739</xdr:colOff>
      <xdr:row>6</xdr:row>
      <xdr:rowOff>38101</xdr:rowOff>
    </xdr:to>
    <xdr:sp macro="" textlink="">
      <xdr:nvSpPr>
        <xdr:cNvPr id="3" name="Rectangle 2">
          <a:extLst>
            <a:ext uri="{FF2B5EF4-FFF2-40B4-BE49-F238E27FC236}">
              <a16:creationId xmlns:a16="http://schemas.microsoft.com/office/drawing/2014/main" id="{9A05EB97-74D1-4EAF-9260-84793F542279}"/>
            </a:ext>
          </a:extLst>
        </xdr:cNvPr>
        <xdr:cNvSpPr/>
      </xdr:nvSpPr>
      <xdr:spPr>
        <a:xfrm>
          <a:off x="4721087" y="281609"/>
          <a:ext cx="18288000" cy="849796"/>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2000" baseline="0"/>
            <a:t>                                                                                                                    </a:t>
          </a:r>
          <a:r>
            <a:rPr lang="en-IN" sz="4400" baseline="0">
              <a:latin typeface="Baskerville Old Face" panose="02020602080505020303" pitchFamily="18" charset="0"/>
            </a:rPr>
            <a:t>Makeup sales overwiew dashbord</a:t>
          </a:r>
          <a:endParaRPr lang="en-IN" sz="2000">
            <a:latin typeface="Baskerville Old Face" panose="02020602080505020303" pitchFamily="18" charset="0"/>
          </a:endParaRPr>
        </a:p>
      </xdr:txBody>
    </xdr:sp>
    <xdr:clientData/>
  </xdr:twoCellAnchor>
  <xdr:twoCellAnchor>
    <xdr:from>
      <xdr:col>0</xdr:col>
      <xdr:colOff>190500</xdr:colOff>
      <xdr:row>24</xdr:row>
      <xdr:rowOff>133351</xdr:rowOff>
    </xdr:from>
    <xdr:to>
      <xdr:col>33</xdr:col>
      <xdr:colOff>331305</xdr:colOff>
      <xdr:row>28</xdr:row>
      <xdr:rowOff>38101</xdr:rowOff>
    </xdr:to>
    <xdr:sp macro="" textlink="">
      <xdr:nvSpPr>
        <xdr:cNvPr id="4" name="Rectangle 3">
          <a:extLst>
            <a:ext uri="{FF2B5EF4-FFF2-40B4-BE49-F238E27FC236}">
              <a16:creationId xmlns:a16="http://schemas.microsoft.com/office/drawing/2014/main" id="{460DEDE5-9775-4B1E-B687-A40E46ADEA3F}"/>
            </a:ext>
          </a:extLst>
        </xdr:cNvPr>
        <xdr:cNvSpPr/>
      </xdr:nvSpPr>
      <xdr:spPr>
        <a:xfrm>
          <a:off x="2619375" y="4419601"/>
          <a:ext cx="20190930" cy="619125"/>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r>
            <a:rPr lang="en-IN" sz="1600"/>
            <a:t>                                                                                                                                                                                                                       </a:t>
          </a:r>
          <a:r>
            <a:rPr lang="en-IN" sz="1600" baseline="0"/>
            <a:t> </a:t>
          </a:r>
          <a:r>
            <a:rPr lang="en-IN" sz="1600"/>
            <a:t>     </a:t>
          </a:r>
          <a:r>
            <a:rPr lang="en-IN" sz="3200">
              <a:latin typeface="Baskerville Old Face" panose="02020602080505020303" pitchFamily="18" charset="0"/>
            </a:rPr>
            <a:t>Sales Trends</a:t>
          </a:r>
          <a:r>
            <a:rPr lang="en-IN" sz="3200" baseline="0">
              <a:latin typeface="Baskerville Old Face" panose="02020602080505020303" pitchFamily="18" charset="0"/>
            </a:rPr>
            <a:t> Over Time </a:t>
          </a:r>
          <a:endParaRPr lang="en-IN" sz="1600">
            <a:latin typeface="Baskerville Old Face" panose="02020602080505020303" pitchFamily="18" charset="0"/>
          </a:endParaRPr>
        </a:p>
      </xdr:txBody>
    </xdr:sp>
    <xdr:clientData/>
  </xdr:twoCellAnchor>
  <xdr:twoCellAnchor>
    <xdr:from>
      <xdr:col>0</xdr:col>
      <xdr:colOff>199571</xdr:colOff>
      <xdr:row>48</xdr:row>
      <xdr:rowOff>36287</xdr:rowOff>
    </xdr:from>
    <xdr:to>
      <xdr:col>12</xdr:col>
      <xdr:colOff>288343</xdr:colOff>
      <xdr:row>51</xdr:row>
      <xdr:rowOff>907</xdr:rowOff>
    </xdr:to>
    <xdr:sp macro="" textlink="">
      <xdr:nvSpPr>
        <xdr:cNvPr id="7" name="Rectangle 6">
          <a:extLst>
            <a:ext uri="{FF2B5EF4-FFF2-40B4-BE49-F238E27FC236}">
              <a16:creationId xmlns:a16="http://schemas.microsoft.com/office/drawing/2014/main" id="{C2B4017C-EA0B-4D86-B7A6-753BDAE91914}"/>
            </a:ext>
          </a:extLst>
        </xdr:cNvPr>
        <xdr:cNvSpPr/>
      </xdr:nvSpPr>
      <xdr:spPr>
        <a:xfrm>
          <a:off x="2667000" y="8744858"/>
          <a:ext cx="7491057" cy="508906"/>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2800">
              <a:latin typeface="Baskerville Old Face" panose="02020602080505020303" pitchFamily="18" charset="0"/>
            </a:rPr>
            <a:t>                Top Performing Brands By</a:t>
          </a:r>
          <a:r>
            <a:rPr lang="en-IN" sz="2800" baseline="0">
              <a:latin typeface="Baskerville Old Face" panose="02020602080505020303" pitchFamily="18" charset="0"/>
            </a:rPr>
            <a:t> Revenue</a:t>
          </a:r>
          <a:endParaRPr lang="en-IN" sz="2800">
            <a:latin typeface="Baskerville Old Face" panose="02020602080505020303" pitchFamily="18" charset="0"/>
          </a:endParaRPr>
        </a:p>
      </xdr:txBody>
    </xdr:sp>
    <xdr:clientData/>
  </xdr:twoCellAnchor>
  <xdr:twoCellAnchor>
    <xdr:from>
      <xdr:col>12</xdr:col>
      <xdr:colOff>413904</xdr:colOff>
      <xdr:row>48</xdr:row>
      <xdr:rowOff>60614</xdr:rowOff>
    </xdr:from>
    <xdr:to>
      <xdr:col>25</xdr:col>
      <xdr:colOff>205003</xdr:colOff>
      <xdr:row>51</xdr:row>
      <xdr:rowOff>13855</xdr:rowOff>
    </xdr:to>
    <xdr:sp macro="" textlink="">
      <xdr:nvSpPr>
        <xdr:cNvPr id="9" name="Rectangle 8">
          <a:extLst>
            <a:ext uri="{FF2B5EF4-FFF2-40B4-BE49-F238E27FC236}">
              <a16:creationId xmlns:a16="http://schemas.microsoft.com/office/drawing/2014/main" id="{87909DEC-DE30-443C-B2A5-8962DE1A8252}"/>
            </a:ext>
          </a:extLst>
        </xdr:cNvPr>
        <xdr:cNvSpPr/>
      </xdr:nvSpPr>
      <xdr:spPr>
        <a:xfrm>
          <a:off x="10181359" y="8705850"/>
          <a:ext cx="7715899" cy="493569"/>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2000">
              <a:latin typeface="Baskerville Old Face" panose="02020602080505020303" pitchFamily="18" charset="0"/>
            </a:rPr>
            <a:t>                 </a:t>
          </a:r>
          <a:r>
            <a:rPr lang="en-IN" sz="2800">
              <a:latin typeface="Baskerville Old Face" panose="02020602080505020303" pitchFamily="18" charset="0"/>
            </a:rPr>
            <a:t>Revenue Distribution</a:t>
          </a:r>
          <a:r>
            <a:rPr lang="en-IN" sz="2800" baseline="0">
              <a:latin typeface="Baskerville Old Face" panose="02020602080505020303" pitchFamily="18" charset="0"/>
            </a:rPr>
            <a:t> By Product category</a:t>
          </a:r>
          <a:endParaRPr lang="en-IN" sz="2000">
            <a:latin typeface="Baskerville Old Face" panose="02020602080505020303" pitchFamily="18" charset="0"/>
          </a:endParaRPr>
        </a:p>
      </xdr:txBody>
    </xdr:sp>
    <xdr:clientData/>
  </xdr:twoCellAnchor>
  <xdr:twoCellAnchor>
    <xdr:from>
      <xdr:col>0</xdr:col>
      <xdr:colOff>199571</xdr:colOff>
      <xdr:row>70</xdr:row>
      <xdr:rowOff>36286</xdr:rowOff>
    </xdr:from>
    <xdr:to>
      <xdr:col>12</xdr:col>
      <xdr:colOff>330270</xdr:colOff>
      <xdr:row>72</xdr:row>
      <xdr:rowOff>138544</xdr:rowOff>
    </xdr:to>
    <xdr:sp macro="" textlink="">
      <xdr:nvSpPr>
        <xdr:cNvPr id="11" name="Rectangle 10">
          <a:extLst>
            <a:ext uri="{FF2B5EF4-FFF2-40B4-BE49-F238E27FC236}">
              <a16:creationId xmlns:a16="http://schemas.microsoft.com/office/drawing/2014/main" id="{64EED859-D10A-4644-86AF-EAE1DE3AB772}"/>
            </a:ext>
          </a:extLst>
        </xdr:cNvPr>
        <xdr:cNvSpPr/>
      </xdr:nvSpPr>
      <xdr:spPr>
        <a:xfrm>
          <a:off x="2667000" y="12736286"/>
          <a:ext cx="7532984" cy="465115"/>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2800">
              <a:latin typeface="Baskerville Old Face" panose="02020602080505020303" pitchFamily="18" charset="0"/>
            </a:rPr>
            <a:t>                            Sales</a:t>
          </a:r>
          <a:r>
            <a:rPr lang="en-IN" sz="2800" baseline="0">
              <a:latin typeface="Baskerville Old Face" panose="02020602080505020303" pitchFamily="18" charset="0"/>
            </a:rPr>
            <a:t> By Channel</a:t>
          </a:r>
          <a:endParaRPr lang="en-IN" sz="2800">
            <a:latin typeface="Baskerville Old Face" panose="02020602080505020303" pitchFamily="18" charset="0"/>
          </a:endParaRPr>
        </a:p>
      </xdr:txBody>
    </xdr:sp>
    <xdr:clientData/>
  </xdr:twoCellAnchor>
  <xdr:twoCellAnchor>
    <xdr:from>
      <xdr:col>12</xdr:col>
      <xdr:colOff>448809</xdr:colOff>
      <xdr:row>70</xdr:row>
      <xdr:rowOff>30772</xdr:rowOff>
    </xdr:from>
    <xdr:to>
      <xdr:col>25</xdr:col>
      <xdr:colOff>221673</xdr:colOff>
      <xdr:row>72</xdr:row>
      <xdr:rowOff>133349</xdr:rowOff>
    </xdr:to>
    <xdr:sp macro="" textlink="">
      <xdr:nvSpPr>
        <xdr:cNvPr id="13" name="Rectangle 12">
          <a:extLst>
            <a:ext uri="{FF2B5EF4-FFF2-40B4-BE49-F238E27FC236}">
              <a16:creationId xmlns:a16="http://schemas.microsoft.com/office/drawing/2014/main" id="{03C18B7F-6657-473B-922B-89D3EBCBC4BC}"/>
            </a:ext>
          </a:extLst>
        </xdr:cNvPr>
        <xdr:cNvSpPr/>
      </xdr:nvSpPr>
      <xdr:spPr>
        <a:xfrm>
          <a:off x="10216264" y="12638408"/>
          <a:ext cx="7697664" cy="462796"/>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200"/>
            <a:t>                                                                               </a:t>
          </a:r>
          <a:r>
            <a:rPr lang="en-IN" sz="2800">
              <a:latin typeface="Baskerville Old Face" panose="02020602080505020303" pitchFamily="18" charset="0"/>
            </a:rPr>
            <a:t>Revenue</a:t>
          </a:r>
          <a:r>
            <a:rPr lang="en-IN" sz="2800" baseline="0">
              <a:latin typeface="Baskerville Old Face" panose="02020602080505020303" pitchFamily="18" charset="0"/>
            </a:rPr>
            <a:t> By Country</a:t>
          </a:r>
          <a:endParaRPr lang="en-IN" sz="1200">
            <a:latin typeface="Baskerville Old Face" panose="02020602080505020303" pitchFamily="18" charset="0"/>
          </a:endParaRPr>
        </a:p>
      </xdr:txBody>
    </xdr:sp>
    <xdr:clientData/>
  </xdr:twoCellAnchor>
  <xdr:oneCellAnchor>
    <xdr:from>
      <xdr:col>13</xdr:col>
      <xdr:colOff>135530</xdr:colOff>
      <xdr:row>24</xdr:row>
      <xdr:rowOff>166778</xdr:rowOff>
    </xdr:from>
    <xdr:ext cx="419100" cy="437030"/>
    <xdr:pic>
      <xdr:nvPicPr>
        <xdr:cNvPr id="17" name="Graphic 16" descr="Target Audience with solid fill">
          <a:extLst>
            <a:ext uri="{FF2B5EF4-FFF2-40B4-BE49-F238E27FC236}">
              <a16:creationId xmlns:a16="http://schemas.microsoft.com/office/drawing/2014/main" id="{172C358C-05EB-4885-9E8C-E6A125F28E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98730" y="4555898"/>
          <a:ext cx="419100" cy="437030"/>
        </a:xfrm>
        <a:prstGeom prst="rect">
          <a:avLst/>
        </a:prstGeom>
      </xdr:spPr>
    </xdr:pic>
    <xdr:clientData/>
  </xdr:oneCellAnchor>
  <xdr:oneCellAnchor>
    <xdr:from>
      <xdr:col>0</xdr:col>
      <xdr:colOff>163286</xdr:colOff>
      <xdr:row>1</xdr:row>
      <xdr:rowOff>99392</xdr:rowOff>
    </xdr:from>
    <xdr:ext cx="2136084" cy="2935239"/>
    <xdr:pic>
      <xdr:nvPicPr>
        <xdr:cNvPr id="18" name="Picture 17">
          <a:extLst>
            <a:ext uri="{FF2B5EF4-FFF2-40B4-BE49-F238E27FC236}">
              <a16:creationId xmlns:a16="http://schemas.microsoft.com/office/drawing/2014/main" id="{1420A9E3-0324-41AC-B6C7-74900770D84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23075" y="286550"/>
          <a:ext cx="2136084" cy="2935239"/>
        </a:xfrm>
        <a:prstGeom prst="rect">
          <a:avLst/>
        </a:prstGeom>
      </xdr:spPr>
    </xdr:pic>
    <xdr:clientData/>
  </xdr:oneCellAnchor>
  <xdr:twoCellAnchor>
    <xdr:from>
      <xdr:col>0</xdr:col>
      <xdr:colOff>163286</xdr:colOff>
      <xdr:row>17</xdr:row>
      <xdr:rowOff>41563</xdr:rowOff>
    </xdr:from>
    <xdr:to>
      <xdr:col>10</xdr:col>
      <xdr:colOff>285751</xdr:colOff>
      <xdr:row>24</xdr:row>
      <xdr:rowOff>133350</xdr:rowOff>
    </xdr:to>
    <xdr:sp macro="" textlink="">
      <xdr:nvSpPr>
        <xdr:cNvPr id="19" name="Rectangle 18">
          <a:extLst>
            <a:ext uri="{FF2B5EF4-FFF2-40B4-BE49-F238E27FC236}">
              <a16:creationId xmlns:a16="http://schemas.microsoft.com/office/drawing/2014/main" id="{618B38CC-D916-4D44-8252-8EC30D599FA1}"/>
            </a:ext>
          </a:extLst>
        </xdr:cNvPr>
        <xdr:cNvSpPr/>
      </xdr:nvSpPr>
      <xdr:spPr>
        <a:xfrm>
          <a:off x="2630715" y="3125849"/>
          <a:ext cx="6291036" cy="1361787"/>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3600">
              <a:latin typeface="Bookman Old Style" panose="02050604050505020204" pitchFamily="18" charset="0"/>
            </a:rPr>
            <a:t>           </a:t>
          </a:r>
          <a:r>
            <a:rPr lang="en-IN" sz="3600">
              <a:solidFill>
                <a:srgbClr val="C00000"/>
              </a:solidFill>
              <a:latin typeface="Bookman Old Style" panose="02050604050505020204" pitchFamily="18" charset="0"/>
            </a:rPr>
            <a:t>Total</a:t>
          </a:r>
          <a:r>
            <a:rPr lang="en-IN" sz="3600" baseline="0">
              <a:solidFill>
                <a:srgbClr val="C00000"/>
              </a:solidFill>
              <a:latin typeface="Bookman Old Style" panose="02050604050505020204" pitchFamily="18" charset="0"/>
            </a:rPr>
            <a:t> Revenue</a:t>
          </a:r>
          <a:endParaRPr lang="en-IN" sz="3600">
            <a:solidFill>
              <a:srgbClr val="C00000"/>
            </a:solidFill>
            <a:latin typeface="Bookman Old Style" panose="02050604050505020204" pitchFamily="18" charset="0"/>
          </a:endParaRPr>
        </a:p>
      </xdr:txBody>
    </xdr:sp>
    <xdr:clientData/>
  </xdr:twoCellAnchor>
  <xdr:twoCellAnchor>
    <xdr:from>
      <xdr:col>11</xdr:col>
      <xdr:colOff>171450</xdr:colOff>
      <xdr:row>17</xdr:row>
      <xdr:rowOff>13854</xdr:rowOff>
    </xdr:from>
    <xdr:to>
      <xdr:col>21</xdr:col>
      <xdr:colOff>476250</xdr:colOff>
      <xdr:row>24</xdr:row>
      <xdr:rowOff>114300</xdr:rowOff>
    </xdr:to>
    <xdr:sp macro="" textlink="">
      <xdr:nvSpPr>
        <xdr:cNvPr id="20" name="Rectangle 19">
          <a:extLst>
            <a:ext uri="{FF2B5EF4-FFF2-40B4-BE49-F238E27FC236}">
              <a16:creationId xmlns:a16="http://schemas.microsoft.com/office/drawing/2014/main" id="{F645F1F0-3797-46F1-904E-379592CEFD06}"/>
            </a:ext>
          </a:extLst>
        </xdr:cNvPr>
        <xdr:cNvSpPr/>
      </xdr:nvSpPr>
      <xdr:spPr>
        <a:xfrm>
          <a:off x="9329305" y="3075709"/>
          <a:ext cx="6400800" cy="1361209"/>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3600">
              <a:solidFill>
                <a:srgbClr val="C00000"/>
              </a:solidFill>
              <a:latin typeface="Bookman Old Style" panose="02050604050505020204" pitchFamily="18" charset="0"/>
            </a:rPr>
            <a:t>             </a:t>
          </a:r>
          <a:r>
            <a:rPr lang="en-IN" sz="3200">
              <a:solidFill>
                <a:srgbClr val="C00000"/>
              </a:solidFill>
              <a:latin typeface="Bookman Old Style" panose="02050604050505020204" pitchFamily="18" charset="0"/>
            </a:rPr>
            <a:t>Total Orders</a:t>
          </a:r>
          <a:endParaRPr lang="en-IN" sz="3600">
            <a:solidFill>
              <a:srgbClr val="C00000"/>
            </a:solidFill>
            <a:latin typeface="Bookman Old Style" panose="02050604050505020204" pitchFamily="18" charset="0"/>
          </a:endParaRPr>
        </a:p>
      </xdr:txBody>
    </xdr:sp>
    <xdr:clientData/>
  </xdr:twoCellAnchor>
  <xdr:twoCellAnchor>
    <xdr:from>
      <xdr:col>22</xdr:col>
      <xdr:colOff>266699</xdr:colOff>
      <xdr:row>17</xdr:row>
      <xdr:rowOff>13854</xdr:rowOff>
    </xdr:from>
    <xdr:to>
      <xdr:col>33</xdr:col>
      <xdr:colOff>308429</xdr:colOff>
      <xdr:row>24</xdr:row>
      <xdr:rowOff>133350</xdr:rowOff>
    </xdr:to>
    <xdr:sp macro="" textlink="">
      <xdr:nvSpPr>
        <xdr:cNvPr id="21" name="Rectangle 20">
          <a:extLst>
            <a:ext uri="{FF2B5EF4-FFF2-40B4-BE49-F238E27FC236}">
              <a16:creationId xmlns:a16="http://schemas.microsoft.com/office/drawing/2014/main" id="{8B60C741-AE51-4846-8A13-6B4C85418562}"/>
            </a:ext>
          </a:extLst>
        </xdr:cNvPr>
        <xdr:cNvSpPr/>
      </xdr:nvSpPr>
      <xdr:spPr>
        <a:xfrm>
          <a:off x="16304985" y="3098140"/>
          <a:ext cx="6827158" cy="1389496"/>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3200">
              <a:solidFill>
                <a:srgbClr val="C00000"/>
              </a:solidFill>
              <a:latin typeface="Bookman Old Style" panose="02050604050505020204" pitchFamily="18" charset="0"/>
            </a:rPr>
            <a:t>          Average Order</a:t>
          </a:r>
          <a:r>
            <a:rPr lang="en-IN" sz="3200" baseline="0">
              <a:solidFill>
                <a:srgbClr val="C00000"/>
              </a:solidFill>
              <a:latin typeface="Bookman Old Style" panose="02050604050505020204" pitchFamily="18" charset="0"/>
            </a:rPr>
            <a:t> Value</a:t>
          </a:r>
          <a:endParaRPr lang="en-IN" sz="3200">
            <a:solidFill>
              <a:srgbClr val="C00000"/>
            </a:solidFill>
            <a:latin typeface="Bookman Old Style" panose="02050604050505020204" pitchFamily="18" charset="0"/>
          </a:endParaRPr>
        </a:p>
      </xdr:txBody>
    </xdr:sp>
    <xdr:clientData/>
  </xdr:twoCellAnchor>
  <xdr:twoCellAnchor>
    <xdr:from>
      <xdr:col>0</xdr:col>
      <xdr:colOff>323850</xdr:colOff>
      <xdr:row>20</xdr:row>
      <xdr:rowOff>19050</xdr:rowOff>
    </xdr:from>
    <xdr:to>
      <xdr:col>10</xdr:col>
      <xdr:colOff>209550</xdr:colOff>
      <xdr:row>24</xdr:row>
      <xdr:rowOff>57150</xdr:rowOff>
    </xdr:to>
    <xdr:sp macro="" textlink="">
      <xdr:nvSpPr>
        <xdr:cNvPr id="22" name="Rectangle 21">
          <a:extLst>
            <a:ext uri="{FF2B5EF4-FFF2-40B4-BE49-F238E27FC236}">
              <a16:creationId xmlns:a16="http://schemas.microsoft.com/office/drawing/2014/main" id="{CA7F4764-956C-44A4-8912-9C517FA59C4C}"/>
            </a:ext>
          </a:extLst>
        </xdr:cNvPr>
        <xdr:cNvSpPr/>
      </xdr:nvSpPr>
      <xdr:spPr>
        <a:xfrm>
          <a:off x="2762250" y="3676650"/>
          <a:ext cx="5981700" cy="769620"/>
        </a:xfrm>
        <a:prstGeom prst="rect">
          <a:avLst/>
        </a:prstGeom>
        <a:solidFill>
          <a:schemeClr val="bg2">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4000" b="0" i="0" u="none" strike="noStrike">
              <a:solidFill>
                <a:schemeClr val="dk1"/>
              </a:solidFill>
              <a:effectLst/>
              <a:latin typeface="Bookman Old Style" panose="02050604050505020204" pitchFamily="18" charset="0"/>
              <a:ea typeface="+mn-ea"/>
              <a:cs typeface="+mn-cs"/>
            </a:rPr>
            <a:t>           793188.5</a:t>
          </a:r>
          <a:r>
            <a:rPr lang="en-IN" sz="2000">
              <a:effectLst/>
            </a:rPr>
            <a:t> </a:t>
          </a:r>
          <a:endParaRPr lang="en-IN" sz="2000">
            <a:solidFill>
              <a:schemeClr val="bg2"/>
            </a:solidFill>
          </a:endParaRPr>
        </a:p>
      </xdr:txBody>
    </xdr:sp>
    <xdr:clientData/>
  </xdr:twoCellAnchor>
  <xdr:twoCellAnchor>
    <xdr:from>
      <xdr:col>11</xdr:col>
      <xdr:colOff>247650</xdr:colOff>
      <xdr:row>19</xdr:row>
      <xdr:rowOff>171450</xdr:rowOff>
    </xdr:from>
    <xdr:to>
      <xdr:col>21</xdr:col>
      <xdr:colOff>342900</xdr:colOff>
      <xdr:row>24</xdr:row>
      <xdr:rowOff>38100</xdr:rowOff>
    </xdr:to>
    <xdr:sp macro="" textlink="">
      <xdr:nvSpPr>
        <xdr:cNvPr id="24" name="Rectangle 23">
          <a:extLst>
            <a:ext uri="{FF2B5EF4-FFF2-40B4-BE49-F238E27FC236}">
              <a16:creationId xmlns:a16="http://schemas.microsoft.com/office/drawing/2014/main" id="{DA2A297F-C2B2-4D34-B92D-41A0CD581696}"/>
            </a:ext>
          </a:extLst>
        </xdr:cNvPr>
        <xdr:cNvSpPr/>
      </xdr:nvSpPr>
      <xdr:spPr>
        <a:xfrm>
          <a:off x="9391650" y="3646170"/>
          <a:ext cx="6191250" cy="781050"/>
        </a:xfrm>
        <a:prstGeom prst="rect">
          <a:avLst/>
        </a:prstGeom>
        <a:solidFill>
          <a:schemeClr val="bg2">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4400" b="0" i="0" u="none" strike="noStrike">
              <a:solidFill>
                <a:schemeClr val="dk1"/>
              </a:solidFill>
              <a:effectLst/>
              <a:latin typeface="Bookman Old Style" panose="02050604050505020204" pitchFamily="18" charset="0"/>
              <a:ea typeface="+mn-ea"/>
              <a:cs typeface="+mn-cs"/>
            </a:rPr>
            <a:t>              </a:t>
          </a:r>
          <a:r>
            <a:rPr lang="en-IN" sz="4000" b="0" i="0" u="none" strike="noStrike">
              <a:solidFill>
                <a:schemeClr val="dk1"/>
              </a:solidFill>
              <a:effectLst/>
              <a:latin typeface="Bookman Old Style" panose="02050604050505020204" pitchFamily="18" charset="0"/>
              <a:ea typeface="+mn-ea"/>
              <a:cs typeface="+mn-cs"/>
            </a:rPr>
            <a:t>500</a:t>
          </a:r>
          <a:r>
            <a:rPr lang="en-IN" sz="1200">
              <a:effectLst/>
            </a:rPr>
            <a:t> </a:t>
          </a:r>
          <a:endParaRPr lang="en-IN" sz="1400">
            <a:solidFill>
              <a:schemeClr val="bg2"/>
            </a:solidFill>
          </a:endParaRPr>
        </a:p>
      </xdr:txBody>
    </xdr:sp>
    <xdr:clientData/>
  </xdr:twoCellAnchor>
  <xdr:twoCellAnchor>
    <xdr:from>
      <xdr:col>22</xdr:col>
      <xdr:colOff>419100</xdr:colOff>
      <xdr:row>19</xdr:row>
      <xdr:rowOff>171450</xdr:rowOff>
    </xdr:from>
    <xdr:to>
      <xdr:col>33</xdr:col>
      <xdr:colOff>95250</xdr:colOff>
      <xdr:row>24</xdr:row>
      <xdr:rowOff>38100</xdr:rowOff>
    </xdr:to>
    <xdr:sp macro="" textlink="">
      <xdr:nvSpPr>
        <xdr:cNvPr id="25" name="Rectangle 24">
          <a:extLst>
            <a:ext uri="{FF2B5EF4-FFF2-40B4-BE49-F238E27FC236}">
              <a16:creationId xmlns:a16="http://schemas.microsoft.com/office/drawing/2014/main" id="{50766B30-471F-4769-99F7-808A670E4AF5}"/>
            </a:ext>
          </a:extLst>
        </xdr:cNvPr>
        <xdr:cNvSpPr/>
      </xdr:nvSpPr>
      <xdr:spPr>
        <a:xfrm>
          <a:off x="16268700" y="3646170"/>
          <a:ext cx="6381750" cy="781050"/>
        </a:xfrm>
        <a:prstGeom prst="rect">
          <a:avLst/>
        </a:prstGeom>
        <a:solidFill>
          <a:schemeClr val="bg2">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4400" b="0" i="0" u="none" strike="noStrike">
              <a:solidFill>
                <a:schemeClr val="dk1"/>
              </a:solidFill>
              <a:effectLst/>
              <a:latin typeface="Bookman Old Style" panose="02050604050505020204" pitchFamily="18" charset="0"/>
              <a:ea typeface="+mn-ea"/>
              <a:cs typeface="+mn-cs"/>
            </a:rPr>
            <a:t>          </a:t>
          </a:r>
          <a:r>
            <a:rPr lang="en-IN" sz="4000" b="0" i="0" u="none" strike="noStrike">
              <a:solidFill>
                <a:schemeClr val="dk1"/>
              </a:solidFill>
              <a:effectLst/>
              <a:latin typeface="Bookman Old Style" panose="02050604050505020204" pitchFamily="18" charset="0"/>
              <a:ea typeface="+mn-ea"/>
              <a:cs typeface="+mn-cs"/>
            </a:rPr>
            <a:t>1586.377</a:t>
          </a:r>
          <a:r>
            <a:rPr lang="en-IN" sz="4000">
              <a:effectLst/>
              <a:latin typeface="Bookman Old Style" panose="02050604050505020204" pitchFamily="18" charset="0"/>
            </a:rPr>
            <a:t> </a:t>
          </a:r>
          <a:endParaRPr lang="en-IN" sz="4400">
            <a:solidFill>
              <a:schemeClr val="bg2"/>
            </a:solidFill>
            <a:latin typeface="Bookman Old Style" panose="02050604050505020204" pitchFamily="18" charset="0"/>
          </a:endParaRPr>
        </a:p>
      </xdr:txBody>
    </xdr:sp>
    <xdr:clientData/>
  </xdr:twoCellAnchor>
  <xdr:twoCellAnchor>
    <xdr:from>
      <xdr:col>0</xdr:col>
      <xdr:colOff>199571</xdr:colOff>
      <xdr:row>28</xdr:row>
      <xdr:rowOff>41563</xdr:rowOff>
    </xdr:from>
    <xdr:to>
      <xdr:col>33</xdr:col>
      <xdr:colOff>362857</xdr:colOff>
      <xdr:row>48</xdr:row>
      <xdr:rowOff>41563</xdr:rowOff>
    </xdr:to>
    <xdr:graphicFrame macro="">
      <xdr:nvGraphicFramePr>
        <xdr:cNvPr id="6" name="Chart 5">
          <a:extLst>
            <a:ext uri="{FF2B5EF4-FFF2-40B4-BE49-F238E27FC236}">
              <a16:creationId xmlns:a16="http://schemas.microsoft.com/office/drawing/2014/main" id="{FE64C007-BAA3-432C-8F12-3B4195EB8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235527</xdr:colOff>
      <xdr:row>51</xdr:row>
      <xdr:rowOff>13855</xdr:rowOff>
    </xdr:from>
    <xdr:to>
      <xdr:col>12</xdr:col>
      <xdr:colOff>290945</xdr:colOff>
      <xdr:row>69</xdr:row>
      <xdr:rowOff>138546</xdr:rowOff>
    </xdr:to>
    <xdr:graphicFrame macro="">
      <xdr:nvGraphicFramePr>
        <xdr:cNvPr id="8" name="Chart 7">
          <a:extLst>
            <a:ext uri="{FF2B5EF4-FFF2-40B4-BE49-F238E27FC236}">
              <a16:creationId xmlns:a16="http://schemas.microsoft.com/office/drawing/2014/main" id="{DD6A3611-DD17-47F7-B0B1-EA77F1834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429490</xdr:colOff>
      <xdr:row>51</xdr:row>
      <xdr:rowOff>34635</xdr:rowOff>
    </xdr:from>
    <xdr:to>
      <xdr:col>25</xdr:col>
      <xdr:colOff>207817</xdr:colOff>
      <xdr:row>69</xdr:row>
      <xdr:rowOff>138546</xdr:rowOff>
    </xdr:to>
    <xdr:graphicFrame macro="">
      <xdr:nvGraphicFramePr>
        <xdr:cNvPr id="10" name="Chart 9">
          <a:extLst>
            <a:ext uri="{FF2B5EF4-FFF2-40B4-BE49-F238E27FC236}">
              <a16:creationId xmlns:a16="http://schemas.microsoft.com/office/drawing/2014/main" id="{BBE5C33F-51C9-4783-9EA7-2146C975A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207817</xdr:colOff>
      <xdr:row>72</xdr:row>
      <xdr:rowOff>138544</xdr:rowOff>
    </xdr:from>
    <xdr:to>
      <xdr:col>12</xdr:col>
      <xdr:colOff>345281</xdr:colOff>
      <xdr:row>98</xdr:row>
      <xdr:rowOff>110836</xdr:rowOff>
    </xdr:to>
    <xdr:graphicFrame macro="">
      <xdr:nvGraphicFramePr>
        <xdr:cNvPr id="14" name="Chart 13">
          <a:extLst>
            <a:ext uri="{FF2B5EF4-FFF2-40B4-BE49-F238E27FC236}">
              <a16:creationId xmlns:a16="http://schemas.microsoft.com/office/drawing/2014/main" id="{6B44C991-0712-4E38-83FB-C83502F2B8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25</xdr:col>
      <xdr:colOff>249381</xdr:colOff>
      <xdr:row>48</xdr:row>
      <xdr:rowOff>55419</xdr:rowOff>
    </xdr:from>
    <xdr:to>
      <xdr:col>33</xdr:col>
      <xdr:colOff>277090</xdr:colOff>
      <xdr:row>69</xdr:row>
      <xdr:rowOff>138546</xdr:rowOff>
    </xdr:to>
    <mc:AlternateContent xmlns:mc="http://schemas.openxmlformats.org/markup-compatibility/2006" xmlns:a14="http://schemas.microsoft.com/office/drawing/2010/main">
      <mc:Choice Requires="a14">
        <xdr:graphicFrame macro="">
          <xdr:nvGraphicFramePr>
            <xdr:cNvPr id="15" name="Sales_Channel 1">
              <a:extLst>
                <a:ext uri="{FF2B5EF4-FFF2-40B4-BE49-F238E27FC236}">
                  <a16:creationId xmlns:a16="http://schemas.microsoft.com/office/drawing/2014/main" id="{10BB452C-B75E-4262-B155-3E47B053F5C2}"/>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17941636" y="8700655"/>
              <a:ext cx="4904509" cy="38654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249383</xdr:colOff>
      <xdr:row>70</xdr:row>
      <xdr:rowOff>27710</xdr:rowOff>
    </xdr:from>
    <xdr:to>
      <xdr:col>33</xdr:col>
      <xdr:colOff>304799</xdr:colOff>
      <xdr:row>98</xdr:row>
      <xdr:rowOff>96982</xdr:rowOff>
    </xdr:to>
    <mc:AlternateContent xmlns:mc="http://schemas.openxmlformats.org/markup-compatibility/2006" xmlns:a14="http://schemas.microsoft.com/office/drawing/2010/main">
      <mc:Choice Requires="a14">
        <xdr:graphicFrame macro="">
          <xdr:nvGraphicFramePr>
            <xdr:cNvPr id="16" name="Country 1">
              <a:extLst>
                <a:ext uri="{FF2B5EF4-FFF2-40B4-BE49-F238E27FC236}">
                  <a16:creationId xmlns:a16="http://schemas.microsoft.com/office/drawing/2014/main" id="{BAD950F9-A482-4B79-81B6-F4FEC819CF44}"/>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7941638" y="12635346"/>
              <a:ext cx="4932216" cy="51123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430694</xdr:colOff>
      <xdr:row>6</xdr:row>
      <xdr:rowOff>52220</xdr:rowOff>
    </xdr:from>
    <xdr:to>
      <xdr:col>33</xdr:col>
      <xdr:colOff>300143</xdr:colOff>
      <xdr:row>17</xdr:row>
      <xdr:rowOff>16563</xdr:rowOff>
    </xdr:to>
    <mc:AlternateContent xmlns:mc="http://schemas.openxmlformats.org/markup-compatibility/2006" xmlns:tsle="http://schemas.microsoft.com/office/drawing/2012/timeslicer">
      <mc:Choice Requires="tsle">
        <xdr:graphicFrame macro="">
          <xdr:nvGraphicFramePr>
            <xdr:cNvPr id="23" name="Date 1">
              <a:extLst>
                <a:ext uri="{FF2B5EF4-FFF2-40B4-BE49-F238E27FC236}">
                  <a16:creationId xmlns:a16="http://schemas.microsoft.com/office/drawing/2014/main" id="{D5CBA6D7-D902-4A65-A583-601E141CF96A}"/>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4693132" y="1123783"/>
              <a:ext cx="18086012" cy="19288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12</xdr:col>
      <xdr:colOff>436880</xdr:colOff>
      <xdr:row>72</xdr:row>
      <xdr:rowOff>142240</xdr:rowOff>
    </xdr:from>
    <xdr:to>
      <xdr:col>25</xdr:col>
      <xdr:colOff>213360</xdr:colOff>
      <xdr:row>98</xdr:row>
      <xdr:rowOff>132080</xdr:rowOff>
    </xdr:to>
    <xdr:graphicFrame macro="">
      <xdr:nvGraphicFramePr>
        <xdr:cNvPr id="5" name="Chart 4">
          <a:extLst>
            <a:ext uri="{FF2B5EF4-FFF2-40B4-BE49-F238E27FC236}">
              <a16:creationId xmlns:a16="http://schemas.microsoft.com/office/drawing/2014/main" id="{4E29027D-CC9B-4D79-A50A-B5B26EA9F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166255</xdr:colOff>
      <xdr:row>2</xdr:row>
      <xdr:rowOff>110836</xdr:rowOff>
    </xdr:from>
    <xdr:to>
      <xdr:col>45</xdr:col>
      <xdr:colOff>265545</xdr:colOff>
      <xdr:row>58</xdr:row>
      <xdr:rowOff>124691</xdr:rowOff>
    </xdr:to>
    <xdr:sp macro="" textlink="">
      <xdr:nvSpPr>
        <xdr:cNvPr id="2" name="Rectangle 1">
          <a:extLst>
            <a:ext uri="{FF2B5EF4-FFF2-40B4-BE49-F238E27FC236}">
              <a16:creationId xmlns:a16="http://schemas.microsoft.com/office/drawing/2014/main" id="{64745653-256E-46D5-A543-87718D30BA39}"/>
            </a:ext>
          </a:extLst>
        </xdr:cNvPr>
        <xdr:cNvSpPr/>
      </xdr:nvSpPr>
      <xdr:spPr>
        <a:xfrm>
          <a:off x="2604655" y="471054"/>
          <a:ext cx="25106745" cy="1009996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180109</xdr:colOff>
      <xdr:row>2</xdr:row>
      <xdr:rowOff>87924</xdr:rowOff>
    </xdr:from>
    <xdr:to>
      <xdr:col>37</xdr:col>
      <xdr:colOff>242396</xdr:colOff>
      <xdr:row>6</xdr:row>
      <xdr:rowOff>38101</xdr:rowOff>
    </xdr:to>
    <xdr:sp macro="" textlink="">
      <xdr:nvSpPr>
        <xdr:cNvPr id="3" name="Rectangle 2">
          <a:extLst>
            <a:ext uri="{FF2B5EF4-FFF2-40B4-BE49-F238E27FC236}">
              <a16:creationId xmlns:a16="http://schemas.microsoft.com/office/drawing/2014/main" id="{28AFFC65-DBFC-44B3-9639-D2A75F91F38B}"/>
            </a:ext>
          </a:extLst>
        </xdr:cNvPr>
        <xdr:cNvSpPr/>
      </xdr:nvSpPr>
      <xdr:spPr>
        <a:xfrm>
          <a:off x="2618509" y="448142"/>
          <a:ext cx="20192942" cy="670614"/>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800" baseline="0"/>
            <a:t>                                                                                                                                                                                                   </a:t>
          </a:r>
          <a:r>
            <a:rPr lang="en-IN" sz="4000" baseline="0">
              <a:latin typeface="Baskerville Old Face" panose="02020602080505020303" pitchFamily="18" charset="0"/>
            </a:rPr>
            <a:t>Product Analysis </a:t>
          </a:r>
          <a:endParaRPr lang="en-IN" sz="1800">
            <a:latin typeface="Baskerville Old Face" panose="02020602080505020303" pitchFamily="18" charset="0"/>
          </a:endParaRPr>
        </a:p>
      </xdr:txBody>
    </xdr:sp>
    <xdr:clientData/>
  </xdr:twoCellAnchor>
  <xdr:twoCellAnchor>
    <xdr:from>
      <xdr:col>4</xdr:col>
      <xdr:colOff>190502</xdr:colOff>
      <xdr:row>6</xdr:row>
      <xdr:rowOff>58615</xdr:rowOff>
    </xdr:from>
    <xdr:to>
      <xdr:col>20</xdr:col>
      <xdr:colOff>263768</xdr:colOff>
      <xdr:row>10</xdr:row>
      <xdr:rowOff>98180</xdr:rowOff>
    </xdr:to>
    <xdr:sp macro="" textlink="">
      <xdr:nvSpPr>
        <xdr:cNvPr id="7" name="Rectangle 6">
          <a:extLst>
            <a:ext uri="{FF2B5EF4-FFF2-40B4-BE49-F238E27FC236}">
              <a16:creationId xmlns:a16="http://schemas.microsoft.com/office/drawing/2014/main" id="{7D13BD35-0801-4DE4-A55C-D95C171CDE86}"/>
            </a:ext>
          </a:extLst>
        </xdr:cNvPr>
        <xdr:cNvSpPr/>
      </xdr:nvSpPr>
      <xdr:spPr>
        <a:xfrm>
          <a:off x="2652348" y="1113692"/>
          <a:ext cx="9935305" cy="742950"/>
        </a:xfrm>
        <a:prstGeom prst="rect">
          <a:avLst/>
        </a:prstGeom>
        <a:solidFill>
          <a:schemeClr val="bg2">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3600">
              <a:latin typeface="Baskerville Old Face" panose="02020602080505020303" pitchFamily="18" charset="0"/>
            </a:rPr>
            <a:t>                         Top Selling Products</a:t>
          </a:r>
        </a:p>
      </xdr:txBody>
    </xdr:sp>
    <xdr:clientData/>
  </xdr:twoCellAnchor>
  <xdr:twoCellAnchor>
    <xdr:from>
      <xdr:col>21</xdr:col>
      <xdr:colOff>117231</xdr:colOff>
      <xdr:row>6</xdr:row>
      <xdr:rowOff>35169</xdr:rowOff>
    </xdr:from>
    <xdr:to>
      <xdr:col>37</xdr:col>
      <xdr:colOff>225670</xdr:colOff>
      <xdr:row>10</xdr:row>
      <xdr:rowOff>74734</xdr:rowOff>
    </xdr:to>
    <xdr:sp macro="" textlink="">
      <xdr:nvSpPr>
        <xdr:cNvPr id="29" name="Rectangle 28">
          <a:extLst>
            <a:ext uri="{FF2B5EF4-FFF2-40B4-BE49-F238E27FC236}">
              <a16:creationId xmlns:a16="http://schemas.microsoft.com/office/drawing/2014/main" id="{E133BA33-37C9-4C91-B95D-36EB4B4E6A91}"/>
            </a:ext>
          </a:extLst>
        </xdr:cNvPr>
        <xdr:cNvSpPr/>
      </xdr:nvSpPr>
      <xdr:spPr>
        <a:xfrm>
          <a:off x="13056577" y="1090246"/>
          <a:ext cx="9955824" cy="742950"/>
        </a:xfrm>
        <a:prstGeom prst="rect">
          <a:avLst/>
        </a:prstGeom>
        <a:solidFill>
          <a:schemeClr val="bg2">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3600">
              <a:latin typeface="Baskerville Old Face" panose="02020602080505020303" pitchFamily="18" charset="0"/>
            </a:rPr>
            <a:t>                      Top Performing Brands</a:t>
          </a:r>
        </a:p>
      </xdr:txBody>
    </xdr:sp>
    <xdr:clientData/>
  </xdr:twoCellAnchor>
  <xdr:twoCellAnchor>
    <xdr:from>
      <xdr:col>4</xdr:col>
      <xdr:colOff>180488</xdr:colOff>
      <xdr:row>31</xdr:row>
      <xdr:rowOff>154842</xdr:rowOff>
    </xdr:from>
    <xdr:to>
      <xdr:col>20</xdr:col>
      <xdr:colOff>253754</xdr:colOff>
      <xdr:row>36</xdr:row>
      <xdr:rowOff>3908</xdr:rowOff>
    </xdr:to>
    <xdr:sp macro="" textlink="">
      <xdr:nvSpPr>
        <xdr:cNvPr id="31" name="Rectangle 30">
          <a:extLst>
            <a:ext uri="{FF2B5EF4-FFF2-40B4-BE49-F238E27FC236}">
              <a16:creationId xmlns:a16="http://schemas.microsoft.com/office/drawing/2014/main" id="{8F9A00AC-18DC-4DEE-9247-E7E6D842FEE5}"/>
            </a:ext>
          </a:extLst>
        </xdr:cNvPr>
        <xdr:cNvSpPr/>
      </xdr:nvSpPr>
      <xdr:spPr>
        <a:xfrm>
          <a:off x="2593488" y="6060342"/>
          <a:ext cx="9741141" cy="801566"/>
        </a:xfrm>
        <a:prstGeom prst="rect">
          <a:avLst/>
        </a:prstGeom>
        <a:solidFill>
          <a:schemeClr val="bg2">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3600">
              <a:latin typeface="Baskerville Old Face" panose="02020602080505020303" pitchFamily="18" charset="0"/>
            </a:rPr>
            <a:t>                            Sales By Product Type</a:t>
          </a:r>
        </a:p>
      </xdr:txBody>
    </xdr:sp>
    <xdr:clientData/>
  </xdr:twoCellAnchor>
  <xdr:twoCellAnchor>
    <xdr:from>
      <xdr:col>21</xdr:col>
      <xdr:colOff>128956</xdr:colOff>
      <xdr:row>31</xdr:row>
      <xdr:rowOff>114300</xdr:rowOff>
    </xdr:from>
    <xdr:to>
      <xdr:col>37</xdr:col>
      <xdr:colOff>216876</xdr:colOff>
      <xdr:row>35</xdr:row>
      <xdr:rowOff>153866</xdr:rowOff>
    </xdr:to>
    <xdr:sp macro="" textlink="">
      <xdr:nvSpPr>
        <xdr:cNvPr id="32" name="Rectangle 31">
          <a:extLst>
            <a:ext uri="{FF2B5EF4-FFF2-40B4-BE49-F238E27FC236}">
              <a16:creationId xmlns:a16="http://schemas.microsoft.com/office/drawing/2014/main" id="{E9F07B67-9685-4EF4-8E23-C72C047C4EF8}"/>
            </a:ext>
          </a:extLst>
        </xdr:cNvPr>
        <xdr:cNvSpPr/>
      </xdr:nvSpPr>
      <xdr:spPr>
        <a:xfrm>
          <a:off x="13068302" y="5565531"/>
          <a:ext cx="9935305" cy="742950"/>
        </a:xfrm>
        <a:prstGeom prst="rect">
          <a:avLst/>
        </a:prstGeom>
        <a:solidFill>
          <a:schemeClr val="bg2">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3600">
              <a:latin typeface="Baskerville Old Face" panose="02020602080505020303" pitchFamily="18" charset="0"/>
            </a:rPr>
            <a:t>                     Products Type Contribution(%)</a:t>
          </a:r>
        </a:p>
      </xdr:txBody>
    </xdr:sp>
    <xdr:clientData/>
  </xdr:twoCellAnchor>
  <xdr:twoCellAnchor>
    <xdr:from>
      <xdr:col>4</xdr:col>
      <xdr:colOff>193964</xdr:colOff>
      <xdr:row>10</xdr:row>
      <xdr:rowOff>95250</xdr:rowOff>
    </xdr:from>
    <xdr:to>
      <xdr:col>20</xdr:col>
      <xdr:colOff>237067</xdr:colOff>
      <xdr:row>31</xdr:row>
      <xdr:rowOff>166254</xdr:rowOff>
    </xdr:to>
    <xdr:graphicFrame macro="">
      <xdr:nvGraphicFramePr>
        <xdr:cNvPr id="4" name="Chart 3">
          <a:extLst>
            <a:ext uri="{FF2B5EF4-FFF2-40B4-BE49-F238E27FC236}">
              <a16:creationId xmlns:a16="http://schemas.microsoft.com/office/drawing/2014/main" id="{0B63086E-05BC-447E-928A-6A67F4C54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118534</xdr:colOff>
      <xdr:row>10</xdr:row>
      <xdr:rowOff>67733</xdr:rowOff>
    </xdr:from>
    <xdr:to>
      <xdr:col>37</xdr:col>
      <xdr:colOff>220133</xdr:colOff>
      <xdr:row>31</xdr:row>
      <xdr:rowOff>112769</xdr:rowOff>
    </xdr:to>
    <xdr:graphicFrame macro="">
      <xdr:nvGraphicFramePr>
        <xdr:cNvPr id="6" name="Chart 5">
          <a:extLst>
            <a:ext uri="{FF2B5EF4-FFF2-40B4-BE49-F238E27FC236}">
              <a16:creationId xmlns:a16="http://schemas.microsoft.com/office/drawing/2014/main" id="{BB9229AA-1F42-4D5E-9060-E053FB4F7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196273</xdr:colOff>
      <xdr:row>36</xdr:row>
      <xdr:rowOff>11545</xdr:rowOff>
    </xdr:from>
    <xdr:to>
      <xdr:col>20</xdr:col>
      <xdr:colOff>265546</xdr:colOff>
      <xdr:row>58</xdr:row>
      <xdr:rowOff>103909</xdr:rowOff>
    </xdr:to>
    <xdr:graphicFrame macro="">
      <xdr:nvGraphicFramePr>
        <xdr:cNvPr id="8" name="Chart 7">
          <a:extLst>
            <a:ext uri="{FF2B5EF4-FFF2-40B4-BE49-F238E27FC236}">
              <a16:creationId xmlns:a16="http://schemas.microsoft.com/office/drawing/2014/main" id="{9E0C384D-508F-4182-BF35-A9AC734B0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115456</xdr:colOff>
      <xdr:row>36</xdr:row>
      <xdr:rowOff>0</xdr:rowOff>
    </xdr:from>
    <xdr:to>
      <xdr:col>37</xdr:col>
      <xdr:colOff>230909</xdr:colOff>
      <xdr:row>58</xdr:row>
      <xdr:rowOff>127000</xdr:rowOff>
    </xdr:to>
    <xdr:graphicFrame macro="">
      <xdr:nvGraphicFramePr>
        <xdr:cNvPr id="9" name="Chart 8">
          <a:extLst>
            <a:ext uri="{FF2B5EF4-FFF2-40B4-BE49-F238E27FC236}">
              <a16:creationId xmlns:a16="http://schemas.microsoft.com/office/drawing/2014/main" id="{F4E782D7-34E3-4118-B4C0-E936CF0080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37</xdr:col>
      <xdr:colOff>244929</xdr:colOff>
      <xdr:row>2</xdr:row>
      <xdr:rowOff>138545</xdr:rowOff>
    </xdr:from>
    <xdr:to>
      <xdr:col>45</xdr:col>
      <xdr:colOff>277090</xdr:colOff>
      <xdr:row>16</xdr:row>
      <xdr:rowOff>161637</xdr:rowOff>
    </xdr:to>
    <mc:AlternateContent xmlns:mc="http://schemas.openxmlformats.org/markup-compatibility/2006" xmlns:tsle="http://schemas.microsoft.com/office/drawing/2012/timeslicer">
      <mc:Choice Requires="tsle">
        <xdr:graphicFrame macro="">
          <xdr:nvGraphicFramePr>
            <xdr:cNvPr id="10" name="Date 2">
              <a:extLst>
                <a:ext uri="{FF2B5EF4-FFF2-40B4-BE49-F238E27FC236}">
                  <a16:creationId xmlns:a16="http://schemas.microsoft.com/office/drawing/2014/main" id="{56BF91C5-6760-496F-B080-B99522F7AD72}"/>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2581054" y="519545"/>
              <a:ext cx="4858161" cy="269009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37</xdr:col>
      <xdr:colOff>254000</xdr:colOff>
      <xdr:row>17</xdr:row>
      <xdr:rowOff>0</xdr:rowOff>
    </xdr:from>
    <xdr:to>
      <xdr:col>45</xdr:col>
      <xdr:colOff>265545</xdr:colOff>
      <xdr:row>34</xdr:row>
      <xdr:rowOff>69273</xdr:rowOff>
    </xdr:to>
    <mc:AlternateContent xmlns:mc="http://schemas.openxmlformats.org/markup-compatibility/2006" xmlns:a14="http://schemas.microsoft.com/office/drawing/2010/main">
      <mc:Choice Requires="a14">
        <xdr:graphicFrame macro="">
          <xdr:nvGraphicFramePr>
            <xdr:cNvPr id="11" name="Sales_Channel 2">
              <a:extLst>
                <a:ext uri="{FF2B5EF4-FFF2-40B4-BE49-F238E27FC236}">
                  <a16:creationId xmlns:a16="http://schemas.microsoft.com/office/drawing/2014/main" id="{03F7A058-1815-42A0-A30C-7411D0F6EE6B}"/>
                </a:ext>
              </a:extLst>
            </xdr:cNvPr>
            <xdr:cNvGraphicFramePr/>
          </xdr:nvGraphicFramePr>
          <xdr:xfrm>
            <a:off x="0" y="0"/>
            <a:ext cx="0" cy="0"/>
          </xdr:xfrm>
          <a:graphic>
            <a:graphicData uri="http://schemas.microsoft.com/office/drawing/2010/slicer">
              <sle:slicer xmlns:sle="http://schemas.microsoft.com/office/drawing/2010/slicer" name="Sales_Channel 2"/>
            </a:graphicData>
          </a:graphic>
        </xdr:graphicFrame>
      </mc:Choice>
      <mc:Fallback xmlns="">
        <xdr:sp macro="" textlink="">
          <xdr:nvSpPr>
            <xdr:cNvPr id="0" name=""/>
            <xdr:cNvSpPr>
              <a:spLocks noTextEdit="1"/>
            </xdr:cNvSpPr>
          </xdr:nvSpPr>
          <xdr:spPr>
            <a:xfrm>
              <a:off x="22590125" y="3238500"/>
              <a:ext cx="4837545" cy="3307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242454</xdr:colOff>
      <xdr:row>34</xdr:row>
      <xdr:rowOff>92364</xdr:rowOff>
    </xdr:from>
    <xdr:to>
      <xdr:col>45</xdr:col>
      <xdr:colOff>242454</xdr:colOff>
      <xdr:row>58</xdr:row>
      <xdr:rowOff>127000</xdr:rowOff>
    </xdr:to>
    <mc:AlternateContent xmlns:mc="http://schemas.openxmlformats.org/markup-compatibility/2006" xmlns:a14="http://schemas.microsoft.com/office/drawing/2010/main">
      <mc:Choice Requires="a14">
        <xdr:graphicFrame macro="">
          <xdr:nvGraphicFramePr>
            <xdr:cNvPr id="12" name="Country 2">
              <a:extLst>
                <a:ext uri="{FF2B5EF4-FFF2-40B4-BE49-F238E27FC236}">
                  <a16:creationId xmlns:a16="http://schemas.microsoft.com/office/drawing/2014/main" id="{26C2755A-0094-41A9-A477-CEE1751B9E99}"/>
                </a:ext>
              </a:extLst>
            </xdr:cNvPr>
            <xdr:cNvGraphicFramePr/>
          </xdr:nvGraphicFramePr>
          <xdr:xfrm>
            <a:off x="0" y="0"/>
            <a:ext cx="0" cy="0"/>
          </xdr:xfrm>
          <a:graphic>
            <a:graphicData uri="http://schemas.microsoft.com/office/drawing/2010/slicer">
              <sle:slicer xmlns:sle="http://schemas.microsoft.com/office/drawing/2010/slicer" name="Country 2"/>
            </a:graphicData>
          </a:graphic>
        </xdr:graphicFrame>
      </mc:Choice>
      <mc:Fallback xmlns="">
        <xdr:sp macro="" textlink="">
          <xdr:nvSpPr>
            <xdr:cNvPr id="0" name=""/>
            <xdr:cNvSpPr>
              <a:spLocks noTextEdit="1"/>
            </xdr:cNvSpPr>
          </xdr:nvSpPr>
          <xdr:spPr>
            <a:xfrm>
              <a:off x="22578579" y="6569364"/>
              <a:ext cx="4826000" cy="4606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214838</xdr:colOff>
      <xdr:row>2</xdr:row>
      <xdr:rowOff>110836</xdr:rowOff>
    </xdr:from>
    <xdr:to>
      <xdr:col>45</xdr:col>
      <xdr:colOff>265545</xdr:colOff>
      <xdr:row>58</xdr:row>
      <xdr:rowOff>136235</xdr:rowOff>
    </xdr:to>
    <xdr:sp macro="" textlink="">
      <xdr:nvSpPr>
        <xdr:cNvPr id="2" name="Rectangle 1">
          <a:extLst>
            <a:ext uri="{FF2B5EF4-FFF2-40B4-BE49-F238E27FC236}">
              <a16:creationId xmlns:a16="http://schemas.microsoft.com/office/drawing/2014/main" id="{108200C3-2602-4EAC-A88F-D824225558F5}"/>
            </a:ext>
          </a:extLst>
        </xdr:cNvPr>
        <xdr:cNvSpPr/>
      </xdr:nvSpPr>
      <xdr:spPr>
        <a:xfrm>
          <a:off x="2653238" y="476596"/>
          <a:ext cx="25059547" cy="1026667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208767</xdr:colOff>
      <xdr:row>2</xdr:row>
      <xdr:rowOff>87924</xdr:rowOff>
    </xdr:from>
    <xdr:to>
      <xdr:col>37</xdr:col>
      <xdr:colOff>242396</xdr:colOff>
      <xdr:row>6</xdr:row>
      <xdr:rowOff>38101</xdr:rowOff>
    </xdr:to>
    <xdr:sp macro="" textlink="">
      <xdr:nvSpPr>
        <xdr:cNvPr id="3" name="Rectangle 2">
          <a:extLst>
            <a:ext uri="{FF2B5EF4-FFF2-40B4-BE49-F238E27FC236}">
              <a16:creationId xmlns:a16="http://schemas.microsoft.com/office/drawing/2014/main" id="{970FF2DD-6E65-4D6D-ADA3-C4C0AD508456}"/>
            </a:ext>
          </a:extLst>
        </xdr:cNvPr>
        <xdr:cNvSpPr/>
      </xdr:nvSpPr>
      <xdr:spPr>
        <a:xfrm>
          <a:off x="2630466" y="463705"/>
          <a:ext cx="20033519" cy="70173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2800" baseline="0">
              <a:latin typeface="Baskerville Old Face" panose="02020602080505020303" pitchFamily="18" charset="0"/>
            </a:rPr>
            <a:t>                                                                                   </a:t>
          </a:r>
          <a:r>
            <a:rPr lang="en-IN" sz="4000" baseline="0">
              <a:latin typeface="Baskerville Old Face" panose="02020602080505020303" pitchFamily="18" charset="0"/>
            </a:rPr>
            <a:t>Sales Performance Analysis</a:t>
          </a:r>
          <a:endParaRPr lang="en-IN" sz="2800">
            <a:latin typeface="Baskerville Old Face" panose="02020602080505020303" pitchFamily="18" charset="0"/>
          </a:endParaRPr>
        </a:p>
      </xdr:txBody>
    </xdr:sp>
    <xdr:clientData/>
  </xdr:twoCellAnchor>
  <xdr:twoCellAnchor>
    <xdr:from>
      <xdr:col>4</xdr:col>
      <xdr:colOff>206054</xdr:colOff>
      <xdr:row>6</xdr:row>
      <xdr:rowOff>11962</xdr:rowOff>
    </xdr:from>
    <xdr:to>
      <xdr:col>20</xdr:col>
      <xdr:colOff>279320</xdr:colOff>
      <xdr:row>10</xdr:row>
      <xdr:rowOff>51527</xdr:rowOff>
    </xdr:to>
    <xdr:sp macro="" textlink="">
      <xdr:nvSpPr>
        <xdr:cNvPr id="4" name="Rectangle 3">
          <a:extLst>
            <a:ext uri="{FF2B5EF4-FFF2-40B4-BE49-F238E27FC236}">
              <a16:creationId xmlns:a16="http://schemas.microsoft.com/office/drawing/2014/main" id="{231C32E7-6CFE-4D6F-8E8B-BBB8E6B08600}"/>
            </a:ext>
          </a:extLst>
        </xdr:cNvPr>
        <xdr:cNvSpPr/>
      </xdr:nvSpPr>
      <xdr:spPr>
        <a:xfrm>
          <a:off x="2632013" y="1131635"/>
          <a:ext cx="9792654" cy="786014"/>
        </a:xfrm>
        <a:prstGeom prst="rect">
          <a:avLst/>
        </a:prstGeom>
        <a:solidFill>
          <a:schemeClr val="bg2">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3600">
              <a:latin typeface="Baskerville Old Face" panose="02020602080505020303" pitchFamily="18" charset="0"/>
            </a:rPr>
            <a:t>                         Revenue</a:t>
          </a:r>
          <a:r>
            <a:rPr lang="en-IN" sz="3600" baseline="0">
              <a:latin typeface="Baskerville Old Face" panose="02020602080505020303" pitchFamily="18" charset="0"/>
            </a:rPr>
            <a:t> By Payment Method</a:t>
          </a:r>
          <a:endParaRPr lang="en-IN" sz="3600">
            <a:latin typeface="Baskerville Old Face" panose="02020602080505020303" pitchFamily="18" charset="0"/>
          </a:endParaRPr>
        </a:p>
      </xdr:txBody>
    </xdr:sp>
    <xdr:clientData/>
  </xdr:twoCellAnchor>
  <xdr:twoCellAnchor>
    <xdr:from>
      <xdr:col>21</xdr:col>
      <xdr:colOff>148333</xdr:colOff>
      <xdr:row>6</xdr:row>
      <xdr:rowOff>50720</xdr:rowOff>
    </xdr:from>
    <xdr:to>
      <xdr:col>37</xdr:col>
      <xdr:colOff>256772</xdr:colOff>
      <xdr:row>10</xdr:row>
      <xdr:rowOff>77756</xdr:rowOff>
    </xdr:to>
    <xdr:sp macro="" textlink="">
      <xdr:nvSpPr>
        <xdr:cNvPr id="5" name="Rectangle 4">
          <a:extLst>
            <a:ext uri="{FF2B5EF4-FFF2-40B4-BE49-F238E27FC236}">
              <a16:creationId xmlns:a16="http://schemas.microsoft.com/office/drawing/2014/main" id="{F2612189-5B64-4A96-819C-04C37BE72C2A}"/>
            </a:ext>
          </a:extLst>
        </xdr:cNvPr>
        <xdr:cNvSpPr/>
      </xdr:nvSpPr>
      <xdr:spPr>
        <a:xfrm>
          <a:off x="12900170" y="1170393"/>
          <a:ext cx="9812275" cy="773485"/>
        </a:xfrm>
        <a:prstGeom prst="rect">
          <a:avLst/>
        </a:prstGeom>
        <a:solidFill>
          <a:schemeClr val="bg2">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3600">
              <a:latin typeface="Baskerville Old Face" panose="02020602080505020303" pitchFamily="18" charset="0"/>
            </a:rPr>
            <a:t>                      Revenue</a:t>
          </a:r>
          <a:r>
            <a:rPr lang="en-IN" sz="3600" baseline="0">
              <a:latin typeface="Baskerville Old Face" panose="02020602080505020303" pitchFamily="18" charset="0"/>
            </a:rPr>
            <a:t> By Country</a:t>
          </a:r>
          <a:endParaRPr lang="en-IN" sz="3600">
            <a:latin typeface="Baskerville Old Face" panose="02020602080505020303" pitchFamily="18" charset="0"/>
          </a:endParaRPr>
        </a:p>
      </xdr:txBody>
    </xdr:sp>
    <xdr:clientData/>
  </xdr:twoCellAnchor>
  <xdr:twoCellAnchor>
    <xdr:from>
      <xdr:col>4</xdr:col>
      <xdr:colOff>196363</xdr:colOff>
      <xdr:row>31</xdr:row>
      <xdr:rowOff>123092</xdr:rowOff>
    </xdr:from>
    <xdr:to>
      <xdr:col>20</xdr:col>
      <xdr:colOff>269629</xdr:colOff>
      <xdr:row>35</xdr:row>
      <xdr:rowOff>162658</xdr:rowOff>
    </xdr:to>
    <xdr:sp macro="" textlink="">
      <xdr:nvSpPr>
        <xdr:cNvPr id="6" name="Rectangle 5">
          <a:extLst>
            <a:ext uri="{FF2B5EF4-FFF2-40B4-BE49-F238E27FC236}">
              <a16:creationId xmlns:a16="http://schemas.microsoft.com/office/drawing/2014/main" id="{B88F4862-C6AC-441F-BF31-5EB5258BDB98}"/>
            </a:ext>
          </a:extLst>
        </xdr:cNvPr>
        <xdr:cNvSpPr/>
      </xdr:nvSpPr>
      <xdr:spPr>
        <a:xfrm>
          <a:off x="2634763" y="5792372"/>
          <a:ext cx="9842106" cy="771086"/>
        </a:xfrm>
        <a:prstGeom prst="rect">
          <a:avLst/>
        </a:prstGeom>
        <a:solidFill>
          <a:schemeClr val="bg2">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3600">
              <a:latin typeface="Baskerville Old Face" panose="02020602080505020303" pitchFamily="18" charset="0"/>
            </a:rPr>
            <a:t>                    Units Sold By Payment Method</a:t>
          </a:r>
        </a:p>
      </xdr:txBody>
    </xdr:sp>
    <xdr:clientData/>
  </xdr:twoCellAnchor>
  <xdr:twoCellAnchor>
    <xdr:from>
      <xdr:col>21</xdr:col>
      <xdr:colOff>128956</xdr:colOff>
      <xdr:row>31</xdr:row>
      <xdr:rowOff>114300</xdr:rowOff>
    </xdr:from>
    <xdr:to>
      <xdr:col>37</xdr:col>
      <xdr:colOff>216876</xdr:colOff>
      <xdr:row>35</xdr:row>
      <xdr:rowOff>153866</xdr:rowOff>
    </xdr:to>
    <xdr:sp macro="" textlink="">
      <xdr:nvSpPr>
        <xdr:cNvPr id="7" name="Rectangle 6">
          <a:extLst>
            <a:ext uri="{FF2B5EF4-FFF2-40B4-BE49-F238E27FC236}">
              <a16:creationId xmlns:a16="http://schemas.microsoft.com/office/drawing/2014/main" id="{A4A4A11C-7D19-4063-92F5-6DF6B129A7ED}"/>
            </a:ext>
          </a:extLst>
        </xdr:cNvPr>
        <xdr:cNvSpPr/>
      </xdr:nvSpPr>
      <xdr:spPr>
        <a:xfrm>
          <a:off x="12945796" y="5783580"/>
          <a:ext cx="9841520" cy="771086"/>
        </a:xfrm>
        <a:prstGeom prst="rect">
          <a:avLst/>
        </a:prstGeom>
        <a:solidFill>
          <a:schemeClr val="bg2">
            <a:lumMod val="75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3600">
              <a:latin typeface="Baskerville Old Face" panose="02020602080505020303" pitchFamily="18" charset="0"/>
            </a:rPr>
            <a:t>                     Units</a:t>
          </a:r>
          <a:r>
            <a:rPr lang="en-IN" sz="3600" baseline="0">
              <a:latin typeface="Baskerville Old Face" panose="02020602080505020303" pitchFamily="18" charset="0"/>
            </a:rPr>
            <a:t> Solds By Brand</a:t>
          </a:r>
          <a:endParaRPr lang="en-IN" sz="3600">
            <a:latin typeface="Baskerville Old Face" panose="02020602080505020303" pitchFamily="18" charset="0"/>
          </a:endParaRPr>
        </a:p>
      </xdr:txBody>
    </xdr:sp>
    <xdr:clientData/>
  </xdr:twoCellAnchor>
  <xdr:twoCellAnchor editAs="oneCell">
    <xdr:from>
      <xdr:col>37</xdr:col>
      <xdr:colOff>198276</xdr:colOff>
      <xdr:row>2</xdr:row>
      <xdr:rowOff>122994</xdr:rowOff>
    </xdr:from>
    <xdr:to>
      <xdr:col>45</xdr:col>
      <xdr:colOff>230437</xdr:colOff>
      <xdr:row>16</xdr:row>
      <xdr:rowOff>146086</xdr:rowOff>
    </xdr:to>
    <mc:AlternateContent xmlns:mc="http://schemas.openxmlformats.org/markup-compatibility/2006" xmlns:tsle="http://schemas.microsoft.com/office/drawing/2012/timeslicer">
      <mc:Choice Requires="tsle">
        <xdr:graphicFrame macro="">
          <xdr:nvGraphicFramePr>
            <xdr:cNvPr id="12" name="Date 3">
              <a:extLst>
                <a:ext uri="{FF2B5EF4-FFF2-40B4-BE49-F238E27FC236}">
                  <a16:creationId xmlns:a16="http://schemas.microsoft.com/office/drawing/2014/main" id="{C33CC2EE-9C62-4031-9780-A137B7CE9FEF}"/>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2653949" y="496218"/>
              <a:ext cx="4884080" cy="263566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37</xdr:col>
      <xdr:colOff>238449</xdr:colOff>
      <xdr:row>17</xdr:row>
      <xdr:rowOff>62204</xdr:rowOff>
    </xdr:from>
    <xdr:to>
      <xdr:col>45</xdr:col>
      <xdr:colOff>249994</xdr:colOff>
      <xdr:row>34</xdr:row>
      <xdr:rowOff>131477</xdr:rowOff>
    </xdr:to>
    <mc:AlternateContent xmlns:mc="http://schemas.openxmlformats.org/markup-compatibility/2006" xmlns:a14="http://schemas.microsoft.com/office/drawing/2010/main">
      <mc:Choice Requires="a14">
        <xdr:graphicFrame macro="">
          <xdr:nvGraphicFramePr>
            <xdr:cNvPr id="13" name="Sales_Channel 3">
              <a:extLst>
                <a:ext uri="{FF2B5EF4-FFF2-40B4-BE49-F238E27FC236}">
                  <a16:creationId xmlns:a16="http://schemas.microsoft.com/office/drawing/2014/main" id="{44CBA49C-5611-4DBC-9374-78B89B7837A0}"/>
                </a:ext>
              </a:extLst>
            </xdr:cNvPr>
            <xdr:cNvGraphicFramePr/>
          </xdr:nvGraphicFramePr>
          <xdr:xfrm>
            <a:off x="0" y="0"/>
            <a:ext cx="0" cy="0"/>
          </xdr:xfrm>
          <a:graphic>
            <a:graphicData uri="http://schemas.microsoft.com/office/drawing/2010/slicer">
              <sle:slicer xmlns:sle="http://schemas.microsoft.com/office/drawing/2010/slicer" name="Sales_Channel 3"/>
            </a:graphicData>
          </a:graphic>
        </xdr:graphicFrame>
      </mc:Choice>
      <mc:Fallback xmlns="">
        <xdr:sp macro="" textlink="">
          <xdr:nvSpPr>
            <xdr:cNvPr id="0" name=""/>
            <xdr:cNvSpPr>
              <a:spLocks noTextEdit="1"/>
            </xdr:cNvSpPr>
          </xdr:nvSpPr>
          <xdr:spPr>
            <a:xfrm>
              <a:off x="22694122" y="3234612"/>
              <a:ext cx="4863464" cy="3241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242454</xdr:colOff>
      <xdr:row>34</xdr:row>
      <xdr:rowOff>92364</xdr:rowOff>
    </xdr:from>
    <xdr:to>
      <xdr:col>45</xdr:col>
      <xdr:colOff>242454</xdr:colOff>
      <xdr:row>58</xdr:row>
      <xdr:rowOff>127000</xdr:rowOff>
    </xdr:to>
    <mc:AlternateContent xmlns:mc="http://schemas.openxmlformats.org/markup-compatibility/2006" xmlns:a14="http://schemas.microsoft.com/office/drawing/2010/main">
      <mc:Choice Requires="a14">
        <xdr:graphicFrame macro="">
          <xdr:nvGraphicFramePr>
            <xdr:cNvPr id="14" name="Country 3">
              <a:extLst>
                <a:ext uri="{FF2B5EF4-FFF2-40B4-BE49-F238E27FC236}">
                  <a16:creationId xmlns:a16="http://schemas.microsoft.com/office/drawing/2014/main" id="{59AE7646-DA31-4BC5-81FA-2E1E4A90398C}"/>
                </a:ext>
              </a:extLst>
            </xdr:cNvPr>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22698127" y="6437180"/>
              <a:ext cx="4851919" cy="45133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219205</xdr:colOff>
      <xdr:row>10</xdr:row>
      <xdr:rowOff>46654</xdr:rowOff>
    </xdr:from>
    <xdr:to>
      <xdr:col>20</xdr:col>
      <xdr:colOff>279918</xdr:colOff>
      <xdr:row>31</xdr:row>
      <xdr:rowOff>93306</xdr:rowOff>
    </xdr:to>
    <xdr:graphicFrame macro="">
      <xdr:nvGraphicFramePr>
        <xdr:cNvPr id="15" name="Chart 14">
          <a:extLst>
            <a:ext uri="{FF2B5EF4-FFF2-40B4-BE49-F238E27FC236}">
              <a16:creationId xmlns:a16="http://schemas.microsoft.com/office/drawing/2014/main" id="{E450DEBA-30E1-4747-9B2E-035357FFF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155510</xdr:colOff>
      <xdr:row>10</xdr:row>
      <xdr:rowOff>77755</xdr:rowOff>
    </xdr:from>
    <xdr:to>
      <xdr:col>37</xdr:col>
      <xdr:colOff>202164</xdr:colOff>
      <xdr:row>31</xdr:row>
      <xdr:rowOff>46652</xdr:rowOff>
    </xdr:to>
    <xdr:graphicFrame macro="">
      <xdr:nvGraphicFramePr>
        <xdr:cNvPr id="16" name="Chart 15">
          <a:extLst>
            <a:ext uri="{FF2B5EF4-FFF2-40B4-BE49-F238E27FC236}">
              <a16:creationId xmlns:a16="http://schemas.microsoft.com/office/drawing/2014/main" id="{8E461721-AF1F-48ED-B8C6-80B9E1B10D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264368</xdr:colOff>
      <xdr:row>36</xdr:row>
      <xdr:rowOff>15550</xdr:rowOff>
    </xdr:from>
    <xdr:to>
      <xdr:col>20</xdr:col>
      <xdr:colOff>279918</xdr:colOff>
      <xdr:row>58</xdr:row>
      <xdr:rowOff>77754</xdr:rowOff>
    </xdr:to>
    <xdr:graphicFrame macro="">
      <xdr:nvGraphicFramePr>
        <xdr:cNvPr id="17" name="Chart 16">
          <a:extLst>
            <a:ext uri="{FF2B5EF4-FFF2-40B4-BE49-F238E27FC236}">
              <a16:creationId xmlns:a16="http://schemas.microsoft.com/office/drawing/2014/main" id="{F2E56817-6885-4DBB-8544-4DB3A26CC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124408</xdr:colOff>
      <xdr:row>36</xdr:row>
      <xdr:rowOff>0</xdr:rowOff>
    </xdr:from>
    <xdr:to>
      <xdr:col>37</xdr:col>
      <xdr:colOff>202164</xdr:colOff>
      <xdr:row>58</xdr:row>
      <xdr:rowOff>108857</xdr:rowOff>
    </xdr:to>
    <xdr:graphicFrame macro="">
      <xdr:nvGraphicFramePr>
        <xdr:cNvPr id="18" name="Chart 17">
          <a:extLst>
            <a:ext uri="{FF2B5EF4-FFF2-40B4-BE49-F238E27FC236}">
              <a16:creationId xmlns:a16="http://schemas.microsoft.com/office/drawing/2014/main" id="{5AFC6C3E-56E2-4760-BBA2-A277CB2C8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68580</xdr:colOff>
      <xdr:row>0</xdr:row>
      <xdr:rowOff>0</xdr:rowOff>
    </xdr:from>
    <xdr:to>
      <xdr:col>23</xdr:col>
      <xdr:colOff>60960</xdr:colOff>
      <xdr:row>50</xdr:row>
      <xdr:rowOff>30480</xdr:rowOff>
    </xdr:to>
    <xdr:sp macro="" textlink="">
      <xdr:nvSpPr>
        <xdr:cNvPr id="2" name="Rectangle 1">
          <a:extLst>
            <a:ext uri="{FF2B5EF4-FFF2-40B4-BE49-F238E27FC236}">
              <a16:creationId xmlns:a16="http://schemas.microsoft.com/office/drawing/2014/main" id="{9F2958AA-5F9A-00C3-7BC1-C110396E67D6}"/>
            </a:ext>
          </a:extLst>
        </xdr:cNvPr>
        <xdr:cNvSpPr/>
      </xdr:nvSpPr>
      <xdr:spPr>
        <a:xfrm>
          <a:off x="1287780" y="0"/>
          <a:ext cx="12793980" cy="917448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68580</xdr:colOff>
      <xdr:row>0</xdr:row>
      <xdr:rowOff>0</xdr:rowOff>
    </xdr:from>
    <xdr:to>
      <xdr:col>23</xdr:col>
      <xdr:colOff>60960</xdr:colOff>
      <xdr:row>2</xdr:row>
      <xdr:rowOff>76200</xdr:rowOff>
    </xdr:to>
    <xdr:sp macro="" textlink="">
      <xdr:nvSpPr>
        <xdr:cNvPr id="4" name="Rectangle 3">
          <a:extLst>
            <a:ext uri="{FF2B5EF4-FFF2-40B4-BE49-F238E27FC236}">
              <a16:creationId xmlns:a16="http://schemas.microsoft.com/office/drawing/2014/main" id="{9BF5B86C-ECDD-6908-9124-2E62C44038D3}"/>
            </a:ext>
          </a:extLst>
        </xdr:cNvPr>
        <xdr:cNvSpPr/>
      </xdr:nvSpPr>
      <xdr:spPr>
        <a:xfrm>
          <a:off x="1287780" y="0"/>
          <a:ext cx="12793980" cy="44196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100"/>
            <a:t>                                                                                                                                                                            </a:t>
          </a:r>
          <a:r>
            <a:rPr lang="en-IN" sz="2000">
              <a:latin typeface="Bookman Old Style" panose="02050604050505020204" pitchFamily="18" charset="0"/>
            </a:rPr>
            <a:t>Insights &amp; Recommendations</a:t>
          </a:r>
          <a:r>
            <a:rPr lang="en-IN" sz="1100"/>
            <a:t>  </a:t>
          </a:r>
        </a:p>
      </xdr:txBody>
    </xdr:sp>
    <xdr:clientData/>
  </xdr:twoCellAnchor>
  <xdr:twoCellAnchor>
    <xdr:from>
      <xdr:col>12</xdr:col>
      <xdr:colOff>510540</xdr:colOff>
      <xdr:row>4</xdr:row>
      <xdr:rowOff>7620</xdr:rowOff>
    </xdr:from>
    <xdr:to>
      <xdr:col>22</xdr:col>
      <xdr:colOff>533400</xdr:colOff>
      <xdr:row>22</xdr:row>
      <xdr:rowOff>91440</xdr:rowOff>
    </xdr:to>
    <xdr:sp macro="" textlink="">
      <xdr:nvSpPr>
        <xdr:cNvPr id="6" name="Rectangle 5">
          <a:extLst>
            <a:ext uri="{FF2B5EF4-FFF2-40B4-BE49-F238E27FC236}">
              <a16:creationId xmlns:a16="http://schemas.microsoft.com/office/drawing/2014/main" id="{DBA1172E-1728-4751-AA84-1D973B34848F}"/>
            </a:ext>
          </a:extLst>
        </xdr:cNvPr>
        <xdr:cNvSpPr/>
      </xdr:nvSpPr>
      <xdr:spPr>
        <a:xfrm>
          <a:off x="7825740" y="739140"/>
          <a:ext cx="6118860" cy="3375660"/>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289560</xdr:colOff>
      <xdr:row>4</xdr:row>
      <xdr:rowOff>7620</xdr:rowOff>
    </xdr:from>
    <xdr:to>
      <xdr:col>12</xdr:col>
      <xdr:colOff>312420</xdr:colOff>
      <xdr:row>22</xdr:row>
      <xdr:rowOff>91440</xdr:rowOff>
    </xdr:to>
    <xdr:sp macro="" textlink="">
      <xdr:nvSpPr>
        <xdr:cNvPr id="7" name="Rectangle 6">
          <a:extLst>
            <a:ext uri="{FF2B5EF4-FFF2-40B4-BE49-F238E27FC236}">
              <a16:creationId xmlns:a16="http://schemas.microsoft.com/office/drawing/2014/main" id="{CA58FC91-8210-40D5-AF4D-7AD74CFDF335}"/>
            </a:ext>
          </a:extLst>
        </xdr:cNvPr>
        <xdr:cNvSpPr/>
      </xdr:nvSpPr>
      <xdr:spPr>
        <a:xfrm>
          <a:off x="1508760" y="739140"/>
          <a:ext cx="6118860" cy="3375660"/>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495300</xdr:colOff>
      <xdr:row>23</xdr:row>
      <xdr:rowOff>160020</xdr:rowOff>
    </xdr:from>
    <xdr:to>
      <xdr:col>22</xdr:col>
      <xdr:colOff>518160</xdr:colOff>
      <xdr:row>42</xdr:row>
      <xdr:rowOff>60960</xdr:rowOff>
    </xdr:to>
    <xdr:sp macro="" textlink="">
      <xdr:nvSpPr>
        <xdr:cNvPr id="8" name="Rectangle 7">
          <a:extLst>
            <a:ext uri="{FF2B5EF4-FFF2-40B4-BE49-F238E27FC236}">
              <a16:creationId xmlns:a16="http://schemas.microsoft.com/office/drawing/2014/main" id="{3C4C6588-BE4E-4771-952B-AE110064DC08}"/>
            </a:ext>
          </a:extLst>
        </xdr:cNvPr>
        <xdr:cNvSpPr/>
      </xdr:nvSpPr>
      <xdr:spPr>
        <a:xfrm>
          <a:off x="7810500" y="4366260"/>
          <a:ext cx="6118860" cy="3375660"/>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297180</xdr:colOff>
      <xdr:row>23</xdr:row>
      <xdr:rowOff>152400</xdr:rowOff>
    </xdr:from>
    <xdr:to>
      <xdr:col>12</xdr:col>
      <xdr:colOff>320040</xdr:colOff>
      <xdr:row>42</xdr:row>
      <xdr:rowOff>53340</xdr:rowOff>
    </xdr:to>
    <xdr:sp macro="" textlink="">
      <xdr:nvSpPr>
        <xdr:cNvPr id="9" name="Rectangle 8">
          <a:extLst>
            <a:ext uri="{FF2B5EF4-FFF2-40B4-BE49-F238E27FC236}">
              <a16:creationId xmlns:a16="http://schemas.microsoft.com/office/drawing/2014/main" id="{72447ED0-08D4-4A7F-9B0C-76BC03513C0B}"/>
            </a:ext>
          </a:extLst>
        </xdr:cNvPr>
        <xdr:cNvSpPr/>
      </xdr:nvSpPr>
      <xdr:spPr>
        <a:xfrm>
          <a:off x="1516380" y="4358640"/>
          <a:ext cx="6118860" cy="3375660"/>
        </a:xfrm>
        <a:prstGeom prst="rect">
          <a:avLst/>
        </a:prstGeom>
        <a:solidFill>
          <a:schemeClr val="bg2">
            <a:lumMod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318259</xdr:colOff>
      <xdr:row>3</xdr:row>
      <xdr:rowOff>144780</xdr:rowOff>
    </xdr:from>
    <xdr:to>
      <xdr:col>4</xdr:col>
      <xdr:colOff>125569</xdr:colOff>
      <xdr:row>7</xdr:row>
      <xdr:rowOff>7620</xdr:rowOff>
    </xdr:to>
    <xdr:pic>
      <xdr:nvPicPr>
        <xdr:cNvPr id="10" name="Picture 9">
          <a:extLst>
            <a:ext uri="{FF2B5EF4-FFF2-40B4-BE49-F238E27FC236}">
              <a16:creationId xmlns:a16="http://schemas.microsoft.com/office/drawing/2014/main" id="{02E96A5C-CCAC-7F30-6C5B-E41DB88054E1}"/>
            </a:ext>
          </a:extLst>
        </xdr:cNvPr>
        <xdr:cNvPicPr>
          <a:picLocks noChangeAspect="1"/>
        </xdr:cNvPicPr>
      </xdr:nvPicPr>
      <xdr:blipFill>
        <a:blip xmlns:r="http://schemas.openxmlformats.org/officeDocument/2006/relationships" r:embed="rId1"/>
        <a:stretch>
          <a:fillRect/>
        </a:stretch>
      </xdr:blipFill>
      <xdr:spPr>
        <a:xfrm>
          <a:off x="1537459" y="693420"/>
          <a:ext cx="1026510" cy="594360"/>
        </a:xfrm>
        <a:prstGeom prst="rect">
          <a:avLst/>
        </a:prstGeom>
      </xdr:spPr>
    </xdr:pic>
    <xdr:clientData/>
  </xdr:twoCellAnchor>
  <xdr:twoCellAnchor editAs="oneCell">
    <xdr:from>
      <xdr:col>12</xdr:col>
      <xdr:colOff>569719</xdr:colOff>
      <xdr:row>3</xdr:row>
      <xdr:rowOff>160020</xdr:rowOff>
    </xdr:from>
    <xdr:to>
      <xdr:col>14</xdr:col>
      <xdr:colOff>377029</xdr:colOff>
      <xdr:row>7</xdr:row>
      <xdr:rowOff>22860</xdr:rowOff>
    </xdr:to>
    <xdr:pic>
      <xdr:nvPicPr>
        <xdr:cNvPr id="11" name="Picture 10">
          <a:extLst>
            <a:ext uri="{FF2B5EF4-FFF2-40B4-BE49-F238E27FC236}">
              <a16:creationId xmlns:a16="http://schemas.microsoft.com/office/drawing/2014/main" id="{135D8EAE-4611-43ED-8D06-930F15334804}"/>
            </a:ext>
          </a:extLst>
        </xdr:cNvPr>
        <xdr:cNvPicPr>
          <a:picLocks noChangeAspect="1"/>
        </xdr:cNvPicPr>
      </xdr:nvPicPr>
      <xdr:blipFill>
        <a:blip xmlns:r="http://schemas.openxmlformats.org/officeDocument/2006/relationships" r:embed="rId1"/>
        <a:stretch>
          <a:fillRect/>
        </a:stretch>
      </xdr:blipFill>
      <xdr:spPr>
        <a:xfrm>
          <a:off x="7884919" y="708660"/>
          <a:ext cx="1026510" cy="594360"/>
        </a:xfrm>
        <a:prstGeom prst="rect">
          <a:avLst/>
        </a:prstGeom>
      </xdr:spPr>
    </xdr:pic>
    <xdr:clientData/>
  </xdr:twoCellAnchor>
  <xdr:twoCellAnchor>
    <xdr:from>
      <xdr:col>2</xdr:col>
      <xdr:colOff>586740</xdr:colOff>
      <xdr:row>7</xdr:row>
      <xdr:rowOff>68580</xdr:rowOff>
    </xdr:from>
    <xdr:to>
      <xdr:col>12</xdr:col>
      <xdr:colOff>0</xdr:colOff>
      <xdr:row>20</xdr:row>
      <xdr:rowOff>114300</xdr:rowOff>
    </xdr:to>
    <xdr:sp macro="" textlink="">
      <xdr:nvSpPr>
        <xdr:cNvPr id="12" name="Rectangle 11">
          <a:extLst>
            <a:ext uri="{FF2B5EF4-FFF2-40B4-BE49-F238E27FC236}">
              <a16:creationId xmlns:a16="http://schemas.microsoft.com/office/drawing/2014/main" id="{FA3220D3-C166-B619-7CFA-96D2EC68E467}"/>
            </a:ext>
          </a:extLst>
        </xdr:cNvPr>
        <xdr:cNvSpPr/>
      </xdr:nvSpPr>
      <xdr:spPr>
        <a:xfrm>
          <a:off x="1805940" y="1348740"/>
          <a:ext cx="5509260" cy="24231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latin typeface="Bookman Old Style" panose="02050604050505020204" pitchFamily="18" charset="0"/>
            </a:rPr>
            <a:t>Q: Which product categories are contributing the most revenue?</a:t>
          </a:r>
        </a:p>
        <a:p>
          <a:pPr algn="l"/>
          <a:endParaRPr lang="en-IN" sz="1400">
            <a:solidFill>
              <a:schemeClr val="tx1"/>
            </a:solidFill>
            <a:latin typeface="Bookman Old Style" panose="02050604050505020204" pitchFamily="18" charset="0"/>
          </a:endParaRPr>
        </a:p>
        <a:p>
          <a:pPr algn="l"/>
          <a:r>
            <a:rPr lang="en-IN" sz="1400">
              <a:solidFill>
                <a:schemeClr val="tx1"/>
              </a:solidFill>
              <a:latin typeface="Bookman Old Style" panose="02050604050505020204" pitchFamily="18" charset="0"/>
            </a:rPr>
            <a:t>Insight: </a:t>
          </a:r>
        </a:p>
        <a:p>
          <a:pPr algn="l"/>
          <a:r>
            <a:rPr lang="en-IN" sz="1400">
              <a:solidFill>
                <a:schemeClr val="tx1"/>
              </a:solidFill>
              <a:latin typeface="Bookman Old Style" panose="02050604050505020204" pitchFamily="18" charset="0"/>
            </a:rPr>
            <a:t>Some categories perform better than others.</a:t>
          </a:r>
        </a:p>
        <a:p>
          <a:pPr algn="l"/>
          <a:endParaRPr lang="en-IN" sz="1400">
            <a:solidFill>
              <a:schemeClr val="tx1"/>
            </a:solidFill>
            <a:latin typeface="Bookman Old Style" panose="02050604050505020204" pitchFamily="18" charset="0"/>
          </a:endParaRPr>
        </a:p>
        <a:p>
          <a:pPr algn="l"/>
          <a:r>
            <a:rPr lang="en-IN" sz="1400">
              <a:solidFill>
                <a:schemeClr val="tx1"/>
              </a:solidFill>
              <a:latin typeface="Bookman Old Style" panose="02050604050505020204" pitchFamily="18" charset="0"/>
            </a:rPr>
            <a:t>Recommendation:</a:t>
          </a:r>
        </a:p>
        <a:p>
          <a:pPr algn="l"/>
          <a:r>
            <a:rPr lang="en-IN" sz="1400">
              <a:solidFill>
                <a:schemeClr val="tx1"/>
              </a:solidFill>
              <a:latin typeface="Bookman Old Style" panose="02050604050505020204" pitchFamily="18" charset="0"/>
            </a:rPr>
            <a:t> Focus on high-performing categories and improve low-performing ones through marketing</a:t>
          </a:r>
          <a:r>
            <a:rPr lang="en-IN" sz="1100">
              <a:solidFill>
                <a:schemeClr val="tx1"/>
              </a:solidFill>
            </a:rPr>
            <a:t>.</a:t>
          </a:r>
        </a:p>
      </xdr:txBody>
    </xdr:sp>
    <xdr:clientData/>
  </xdr:twoCellAnchor>
  <xdr:twoCellAnchor>
    <xdr:from>
      <xdr:col>2</xdr:col>
      <xdr:colOff>594360</xdr:colOff>
      <xdr:row>26</xdr:row>
      <xdr:rowOff>152400</xdr:rowOff>
    </xdr:from>
    <xdr:to>
      <xdr:col>12</xdr:col>
      <xdr:colOff>7620</xdr:colOff>
      <xdr:row>40</xdr:row>
      <xdr:rowOff>15240</xdr:rowOff>
    </xdr:to>
    <xdr:sp macro="" textlink="">
      <xdr:nvSpPr>
        <xdr:cNvPr id="14" name="Rectangle 13">
          <a:extLst>
            <a:ext uri="{FF2B5EF4-FFF2-40B4-BE49-F238E27FC236}">
              <a16:creationId xmlns:a16="http://schemas.microsoft.com/office/drawing/2014/main" id="{1EB2BDD9-9C5D-4BDF-A42F-1A99AE0F1D36}"/>
            </a:ext>
          </a:extLst>
        </xdr:cNvPr>
        <xdr:cNvSpPr/>
      </xdr:nvSpPr>
      <xdr:spPr>
        <a:xfrm>
          <a:off x="1813560" y="4907280"/>
          <a:ext cx="5509260" cy="24231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latin typeface="Bookman Old Style" panose="02050604050505020204" pitchFamily="18" charset="0"/>
            </a:rPr>
            <a:t>Q: Which countries generate the most revenue?</a:t>
          </a:r>
        </a:p>
        <a:p>
          <a:pPr algn="l"/>
          <a:endParaRPr lang="en-IN" sz="1400">
            <a:solidFill>
              <a:schemeClr val="tx1"/>
            </a:solidFill>
            <a:latin typeface="Bookman Old Style" panose="02050604050505020204" pitchFamily="18" charset="0"/>
          </a:endParaRPr>
        </a:p>
        <a:p>
          <a:pPr algn="l"/>
          <a:r>
            <a:rPr lang="en-IN" sz="1400">
              <a:solidFill>
                <a:schemeClr val="tx1"/>
              </a:solidFill>
              <a:latin typeface="Bookman Old Style" panose="02050604050505020204" pitchFamily="18" charset="0"/>
            </a:rPr>
            <a:t>Insight: </a:t>
          </a:r>
        </a:p>
        <a:p>
          <a:pPr algn="l"/>
          <a:r>
            <a:rPr lang="en-IN" sz="1400">
              <a:solidFill>
                <a:schemeClr val="tx1"/>
              </a:solidFill>
              <a:latin typeface="Bookman Old Style" panose="02050604050505020204" pitchFamily="18" charset="0"/>
            </a:rPr>
            <a:t>Sales vary across countries.</a:t>
          </a:r>
        </a:p>
        <a:p>
          <a:pPr algn="l"/>
          <a:endParaRPr lang="en-IN" sz="1400">
            <a:solidFill>
              <a:schemeClr val="tx1"/>
            </a:solidFill>
            <a:latin typeface="Bookman Old Style" panose="02050604050505020204" pitchFamily="18" charset="0"/>
          </a:endParaRPr>
        </a:p>
        <a:p>
          <a:pPr algn="l"/>
          <a:r>
            <a:rPr lang="en-IN" sz="1400">
              <a:solidFill>
                <a:schemeClr val="tx1"/>
              </a:solidFill>
              <a:latin typeface="Bookman Old Style" panose="02050604050505020204" pitchFamily="18" charset="0"/>
            </a:rPr>
            <a:t>Recommendation:</a:t>
          </a:r>
        </a:p>
        <a:p>
          <a:pPr algn="l"/>
          <a:r>
            <a:rPr lang="en-IN" sz="1400">
              <a:solidFill>
                <a:schemeClr val="tx1"/>
              </a:solidFill>
              <a:latin typeface="Bookman Old Style" panose="02050604050505020204" pitchFamily="18" charset="0"/>
            </a:rPr>
            <a:t> Expand in high-performing countries and improve strategies in low-performing regions.</a:t>
          </a:r>
        </a:p>
      </xdr:txBody>
    </xdr:sp>
    <xdr:clientData/>
  </xdr:twoCellAnchor>
  <xdr:twoCellAnchor>
    <xdr:from>
      <xdr:col>13</xdr:col>
      <xdr:colOff>220980</xdr:colOff>
      <xdr:row>7</xdr:row>
      <xdr:rowOff>68580</xdr:rowOff>
    </xdr:from>
    <xdr:to>
      <xdr:col>22</xdr:col>
      <xdr:colOff>243840</xdr:colOff>
      <xdr:row>20</xdr:row>
      <xdr:rowOff>114300</xdr:rowOff>
    </xdr:to>
    <xdr:sp macro="" textlink="">
      <xdr:nvSpPr>
        <xdr:cNvPr id="15" name="Rectangle 14">
          <a:extLst>
            <a:ext uri="{FF2B5EF4-FFF2-40B4-BE49-F238E27FC236}">
              <a16:creationId xmlns:a16="http://schemas.microsoft.com/office/drawing/2014/main" id="{8C559DF6-4CF0-46B5-A058-3D67E656BB55}"/>
            </a:ext>
          </a:extLst>
        </xdr:cNvPr>
        <xdr:cNvSpPr/>
      </xdr:nvSpPr>
      <xdr:spPr>
        <a:xfrm>
          <a:off x="8145780" y="1348740"/>
          <a:ext cx="5509260" cy="24231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latin typeface="Bookman Old Style" panose="02050604050505020204" pitchFamily="18" charset="0"/>
            </a:rPr>
            <a:t>Q: Which sales channel performs the best?</a:t>
          </a:r>
        </a:p>
        <a:p>
          <a:pPr algn="l"/>
          <a:endParaRPr lang="en-IN" sz="1400">
            <a:solidFill>
              <a:schemeClr val="tx1"/>
            </a:solidFill>
            <a:latin typeface="Bookman Old Style" panose="02050604050505020204" pitchFamily="18" charset="0"/>
          </a:endParaRPr>
        </a:p>
        <a:p>
          <a:pPr algn="l"/>
          <a:r>
            <a:rPr lang="en-IN" sz="1400">
              <a:solidFill>
                <a:schemeClr val="tx1"/>
              </a:solidFill>
              <a:latin typeface="Bookman Old Style" panose="02050604050505020204" pitchFamily="18" charset="0"/>
            </a:rPr>
            <a:t>Insight: </a:t>
          </a:r>
        </a:p>
        <a:p>
          <a:pPr algn="l"/>
          <a:r>
            <a:rPr lang="en-IN" sz="1400">
              <a:solidFill>
                <a:schemeClr val="tx1"/>
              </a:solidFill>
              <a:latin typeface="Bookman Old Style" panose="02050604050505020204" pitchFamily="18" charset="0"/>
            </a:rPr>
            <a:t>One channel generates more revenue.</a:t>
          </a:r>
        </a:p>
        <a:p>
          <a:pPr algn="l"/>
          <a:endParaRPr lang="en-IN" sz="1400">
            <a:solidFill>
              <a:schemeClr val="tx1"/>
            </a:solidFill>
            <a:latin typeface="Bookman Old Style" panose="02050604050505020204" pitchFamily="18" charset="0"/>
          </a:endParaRPr>
        </a:p>
        <a:p>
          <a:pPr algn="l"/>
          <a:r>
            <a:rPr lang="en-IN" sz="1400">
              <a:solidFill>
                <a:schemeClr val="tx1"/>
              </a:solidFill>
              <a:latin typeface="Bookman Old Style" panose="02050604050505020204" pitchFamily="18" charset="0"/>
            </a:rPr>
            <a:t>Recommendation:</a:t>
          </a:r>
        </a:p>
        <a:p>
          <a:pPr algn="l"/>
          <a:r>
            <a:rPr lang="en-IN" sz="1400">
              <a:solidFill>
                <a:schemeClr val="tx1"/>
              </a:solidFill>
              <a:latin typeface="Bookman Old Style" panose="02050604050505020204" pitchFamily="18" charset="0"/>
            </a:rPr>
            <a:t> Invest more in the best-performing channel and improve weaker channels.</a:t>
          </a:r>
        </a:p>
      </xdr:txBody>
    </xdr:sp>
    <xdr:clientData/>
  </xdr:twoCellAnchor>
  <xdr:twoCellAnchor>
    <xdr:from>
      <xdr:col>13</xdr:col>
      <xdr:colOff>228600</xdr:colOff>
      <xdr:row>26</xdr:row>
      <xdr:rowOff>167640</xdr:rowOff>
    </xdr:from>
    <xdr:to>
      <xdr:col>22</xdr:col>
      <xdr:colOff>251460</xdr:colOff>
      <xdr:row>40</xdr:row>
      <xdr:rowOff>30480</xdr:rowOff>
    </xdr:to>
    <xdr:sp macro="" textlink="">
      <xdr:nvSpPr>
        <xdr:cNvPr id="16" name="Rectangle 15">
          <a:extLst>
            <a:ext uri="{FF2B5EF4-FFF2-40B4-BE49-F238E27FC236}">
              <a16:creationId xmlns:a16="http://schemas.microsoft.com/office/drawing/2014/main" id="{CE4F79FE-F46A-416B-A874-AC8EEC773678}"/>
            </a:ext>
          </a:extLst>
        </xdr:cNvPr>
        <xdr:cNvSpPr/>
      </xdr:nvSpPr>
      <xdr:spPr>
        <a:xfrm>
          <a:off x="8153400" y="4922520"/>
          <a:ext cx="5509260" cy="24231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solidFill>
                <a:schemeClr val="tx1"/>
              </a:solidFill>
              <a:latin typeface="Bookman Old Style" panose="02050604050505020204" pitchFamily="18" charset="0"/>
            </a:rPr>
            <a:t>Q: Which brands/products are top performers?</a:t>
          </a:r>
        </a:p>
        <a:p>
          <a:pPr algn="l"/>
          <a:endParaRPr lang="en-IN" sz="1400">
            <a:solidFill>
              <a:schemeClr val="tx1"/>
            </a:solidFill>
            <a:latin typeface="Bookman Old Style" panose="02050604050505020204" pitchFamily="18" charset="0"/>
          </a:endParaRPr>
        </a:p>
        <a:p>
          <a:pPr algn="l"/>
          <a:r>
            <a:rPr lang="en-IN" sz="1400">
              <a:solidFill>
                <a:schemeClr val="tx1"/>
              </a:solidFill>
              <a:latin typeface="Bookman Old Style" panose="02050604050505020204" pitchFamily="18" charset="0"/>
            </a:rPr>
            <a:t>Insight: </a:t>
          </a:r>
        </a:p>
        <a:p>
          <a:pPr algn="l"/>
          <a:r>
            <a:rPr lang="en-IN" sz="1400">
              <a:solidFill>
                <a:schemeClr val="tx1"/>
              </a:solidFill>
              <a:latin typeface="Bookman Old Style" panose="02050604050505020204" pitchFamily="18" charset="0"/>
            </a:rPr>
            <a:t>Some brands and products drive higher sales.</a:t>
          </a:r>
        </a:p>
        <a:p>
          <a:pPr algn="l"/>
          <a:endParaRPr lang="en-IN" sz="1400">
            <a:solidFill>
              <a:schemeClr val="tx1"/>
            </a:solidFill>
            <a:latin typeface="Bookman Old Style" panose="02050604050505020204" pitchFamily="18" charset="0"/>
          </a:endParaRPr>
        </a:p>
        <a:p>
          <a:pPr algn="l"/>
          <a:r>
            <a:rPr lang="en-IN" sz="1400">
              <a:solidFill>
                <a:schemeClr val="tx1"/>
              </a:solidFill>
              <a:latin typeface="Bookman Old Style" panose="02050604050505020204" pitchFamily="18" charset="0"/>
            </a:rPr>
            <a:t>Recommendation: </a:t>
          </a:r>
        </a:p>
        <a:p>
          <a:pPr algn="l"/>
          <a:r>
            <a:rPr lang="en-IN" sz="1400">
              <a:solidFill>
                <a:schemeClr val="tx1"/>
              </a:solidFill>
              <a:latin typeface="Bookman Old Style" panose="02050604050505020204" pitchFamily="18" charset="0"/>
            </a:rPr>
            <a:t>Focus on these for better inventory and marketing planning.</a:t>
          </a:r>
        </a:p>
      </xdr:txBody>
    </xdr:sp>
    <xdr:clientData/>
  </xdr:twoCellAnchor>
  <xdr:twoCellAnchor editAs="oneCell">
    <xdr:from>
      <xdr:col>12</xdr:col>
      <xdr:colOff>577339</xdr:colOff>
      <xdr:row>23</xdr:row>
      <xdr:rowOff>121920</xdr:rowOff>
    </xdr:from>
    <xdr:to>
      <xdr:col>14</xdr:col>
      <xdr:colOff>384649</xdr:colOff>
      <xdr:row>26</xdr:row>
      <xdr:rowOff>167640</xdr:rowOff>
    </xdr:to>
    <xdr:pic>
      <xdr:nvPicPr>
        <xdr:cNvPr id="17" name="Picture 16">
          <a:extLst>
            <a:ext uri="{FF2B5EF4-FFF2-40B4-BE49-F238E27FC236}">
              <a16:creationId xmlns:a16="http://schemas.microsoft.com/office/drawing/2014/main" id="{8B66BB0F-BE54-49AD-9837-381041A123FB}"/>
            </a:ext>
          </a:extLst>
        </xdr:cNvPr>
        <xdr:cNvPicPr>
          <a:picLocks noChangeAspect="1"/>
        </xdr:cNvPicPr>
      </xdr:nvPicPr>
      <xdr:blipFill>
        <a:blip xmlns:r="http://schemas.openxmlformats.org/officeDocument/2006/relationships" r:embed="rId1"/>
        <a:stretch>
          <a:fillRect/>
        </a:stretch>
      </xdr:blipFill>
      <xdr:spPr>
        <a:xfrm>
          <a:off x="7892539" y="4328160"/>
          <a:ext cx="1026510" cy="594360"/>
        </a:xfrm>
        <a:prstGeom prst="rect">
          <a:avLst/>
        </a:prstGeom>
      </xdr:spPr>
    </xdr:pic>
    <xdr:clientData/>
  </xdr:twoCellAnchor>
  <xdr:twoCellAnchor editAs="oneCell">
    <xdr:from>
      <xdr:col>2</xdr:col>
      <xdr:colOff>356359</xdr:colOff>
      <xdr:row>23</xdr:row>
      <xdr:rowOff>129540</xdr:rowOff>
    </xdr:from>
    <xdr:to>
      <xdr:col>4</xdr:col>
      <xdr:colOff>163669</xdr:colOff>
      <xdr:row>26</xdr:row>
      <xdr:rowOff>175260</xdr:rowOff>
    </xdr:to>
    <xdr:pic>
      <xdr:nvPicPr>
        <xdr:cNvPr id="18" name="Picture 17">
          <a:extLst>
            <a:ext uri="{FF2B5EF4-FFF2-40B4-BE49-F238E27FC236}">
              <a16:creationId xmlns:a16="http://schemas.microsoft.com/office/drawing/2014/main" id="{BA19BFAC-4A42-45D6-AF78-04FB233C50A0}"/>
            </a:ext>
          </a:extLst>
        </xdr:cNvPr>
        <xdr:cNvPicPr>
          <a:picLocks noChangeAspect="1"/>
        </xdr:cNvPicPr>
      </xdr:nvPicPr>
      <xdr:blipFill>
        <a:blip xmlns:r="http://schemas.openxmlformats.org/officeDocument/2006/relationships" r:embed="rId1"/>
        <a:stretch>
          <a:fillRect/>
        </a:stretch>
      </xdr:blipFill>
      <xdr:spPr>
        <a:xfrm>
          <a:off x="1575559" y="4335780"/>
          <a:ext cx="1026510" cy="5943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MAYEMA" refreshedDate="46117.005508796297" createdVersion="8" refreshedVersion="8" minRefreshableVersion="3" recordCount="500" xr:uid="{4FB467AA-CA5D-4670-ACF6-0B84D7988CB5}">
  <cacheSource type="worksheet">
    <worksheetSource ref="A1:J501" sheet="data"/>
  </cacheSource>
  <cacheFields count="12">
    <cacheField name="Sale_ID" numFmtId="0">
      <sharedItems containsSemiMixedTypes="0" containsString="0" containsNumber="1" containsInteger="1" minValue="1" maxValue="500"/>
    </cacheField>
    <cacheField name="Date" numFmtId="14">
      <sharedItems containsSemiMixedTypes="0" containsNonDate="0" containsDate="1" containsString="0" minDate="2025-01-01T00:00:00" maxDate="2026-01-01T00:00:00" count="264">
        <d v="2025-11-24T00:00:00"/>
        <d v="2025-02-22T00:00:00"/>
        <d v="2025-04-22T00:00:00"/>
        <d v="2025-10-29T00:00:00"/>
        <d v="2025-04-21T00:00:00"/>
        <d v="2025-06-26T00:00:00"/>
        <d v="2025-05-31T00:00:00"/>
        <d v="2025-04-27T00:00:00"/>
        <d v="2025-11-22T00:00:00"/>
        <d v="2025-12-16T00:00:00"/>
        <d v="2025-05-19T00:00:00"/>
        <d v="2025-06-11T00:00:00"/>
        <d v="2025-11-26T00:00:00"/>
        <d v="2025-07-24T00:00:00"/>
        <d v="2025-11-18T00:00:00"/>
        <d v="2025-08-28T00:00:00"/>
        <d v="2025-06-02T00:00:00"/>
        <d v="2025-09-29T00:00:00"/>
        <d v="2025-06-07T00:00:00"/>
        <d v="2025-03-06T00:00:00"/>
        <d v="2025-12-20T00:00:00"/>
        <d v="2025-05-07T00:00:00"/>
        <d v="2025-12-29T00:00:00"/>
        <d v="2025-05-02T00:00:00"/>
        <d v="2025-07-28T00:00:00"/>
        <d v="2025-01-28T00:00:00"/>
        <d v="2025-05-08T00:00:00"/>
        <d v="2025-08-25T00:00:00"/>
        <d v="2025-07-14T00:00:00"/>
        <d v="2025-10-12T00:00:00"/>
        <d v="2025-10-24T00:00:00"/>
        <d v="2025-05-01T00:00:00"/>
        <d v="2025-10-26T00:00:00"/>
        <d v="2025-07-22T00:00:00"/>
        <d v="2025-08-23T00:00:00"/>
        <d v="2025-06-28T00:00:00"/>
        <d v="2025-12-27T00:00:00"/>
        <d v="2025-03-01T00:00:00"/>
        <d v="2025-06-25T00:00:00"/>
        <d v="2025-11-21T00:00:00"/>
        <d v="2025-05-15T00:00:00"/>
        <d v="2025-03-18T00:00:00"/>
        <d v="2025-07-06T00:00:00"/>
        <d v="2025-10-14T00:00:00"/>
        <d v="2025-01-13T00:00:00"/>
        <d v="2025-02-25T00:00:00"/>
        <d v="2025-06-06T00:00:00"/>
        <d v="2025-05-23T00:00:00"/>
        <d v="2025-08-11T00:00:00"/>
        <d v="2025-01-23T00:00:00"/>
        <d v="2025-06-19T00:00:00"/>
        <d v="2025-07-26T00:00:00"/>
        <d v="2025-03-31T00:00:00"/>
        <d v="2025-08-09T00:00:00"/>
        <d v="2025-04-20T00:00:00"/>
        <d v="2025-09-01T00:00:00"/>
        <d v="2025-12-23T00:00:00"/>
        <d v="2025-04-23T00:00:00"/>
        <d v="2025-03-10T00:00:00"/>
        <d v="2025-08-14T00:00:00"/>
        <d v="2025-02-11T00:00:00"/>
        <d v="2025-10-27T00:00:00"/>
        <d v="2025-07-19T00:00:00"/>
        <d v="2025-09-06T00:00:00"/>
        <d v="2025-10-01T00:00:00"/>
        <d v="2025-04-04T00:00:00"/>
        <d v="2025-10-04T00:00:00"/>
        <d v="2025-04-13T00:00:00"/>
        <d v="2025-02-28T00:00:00"/>
        <d v="2025-11-07T00:00:00"/>
        <d v="2025-01-14T00:00:00"/>
        <d v="2025-09-30T00:00:00"/>
        <d v="2025-02-24T00:00:00"/>
        <d v="2025-09-25T00:00:00"/>
        <d v="2025-05-06T00:00:00"/>
        <d v="2025-11-09T00:00:00"/>
        <d v="2025-04-19T00:00:00"/>
        <d v="2025-04-08T00:00:00"/>
        <d v="2025-12-31T00:00:00"/>
        <d v="2025-05-05T00:00:00"/>
        <d v="2025-10-09T00:00:00"/>
        <d v="2025-03-03T00:00:00"/>
        <d v="2025-09-05T00:00:00"/>
        <d v="2025-07-04T00:00:00"/>
        <d v="2025-05-30T00:00:00"/>
        <d v="2025-09-03T00:00:00"/>
        <d v="2025-07-25T00:00:00"/>
        <d v="2025-01-02T00:00:00"/>
        <d v="2025-12-28T00:00:00"/>
        <d v="2025-03-26T00:00:00"/>
        <d v="2025-06-05T00:00:00"/>
        <d v="2025-06-15T00:00:00"/>
        <d v="2025-01-21T00:00:00"/>
        <d v="2025-08-12T00:00:00"/>
        <d v="2025-06-14T00:00:00"/>
        <d v="2025-04-07T00:00:00"/>
        <d v="2025-11-08T00:00:00"/>
        <d v="2025-04-26T00:00:00"/>
        <d v="2025-10-10T00:00:00"/>
        <d v="2025-09-17T00:00:00"/>
        <d v="2025-10-03T00:00:00"/>
        <d v="2025-05-03T00:00:00"/>
        <d v="2025-07-15T00:00:00"/>
        <d v="2025-10-30T00:00:00"/>
        <d v="2025-03-15T00:00:00"/>
        <d v="2025-11-16T00:00:00"/>
        <d v="2025-09-07T00:00:00"/>
        <d v="2025-02-16T00:00:00"/>
        <d v="2025-01-24T00:00:00"/>
        <d v="2025-05-11T00:00:00"/>
        <d v="2025-08-15T00:00:00"/>
        <d v="2025-04-12T00:00:00"/>
        <d v="2025-06-01T00:00:00"/>
        <d v="2025-12-18T00:00:00"/>
        <d v="2025-01-18T00:00:00"/>
        <d v="2025-08-01T00:00:00"/>
        <d v="2025-12-13T00:00:00"/>
        <d v="2025-10-02T00:00:00"/>
        <d v="2025-04-30T00:00:00"/>
        <d v="2025-06-04T00:00:00"/>
        <d v="2025-06-18T00:00:00"/>
        <d v="2025-05-09T00:00:00"/>
        <d v="2025-04-24T00:00:00"/>
        <d v="2025-09-16T00:00:00"/>
        <d v="2025-07-31T00:00:00"/>
        <d v="2025-06-10T00:00:00"/>
        <d v="2025-02-17T00:00:00"/>
        <d v="2025-03-04T00:00:00"/>
        <d v="2025-02-23T00:00:00"/>
        <d v="2025-12-03T00:00:00"/>
        <d v="2025-06-29T00:00:00"/>
        <d v="2025-06-16T00:00:00"/>
        <d v="2025-01-26T00:00:00"/>
        <d v="2025-05-20T00:00:00"/>
        <d v="2025-12-14T00:00:00"/>
        <d v="2025-01-29T00:00:00"/>
        <d v="2025-01-10T00:00:00"/>
        <d v="2025-06-23T00:00:00"/>
        <d v="2025-08-29T00:00:00"/>
        <d v="2025-11-01T00:00:00"/>
        <d v="2025-11-27T00:00:00"/>
        <d v="2025-05-25T00:00:00"/>
        <d v="2025-02-18T00:00:00"/>
        <d v="2025-07-05T00:00:00"/>
        <d v="2025-03-21T00:00:00"/>
        <d v="2025-03-25T00:00:00"/>
        <d v="2025-09-15T00:00:00"/>
        <d v="2025-09-04T00:00:00"/>
        <d v="2025-01-20T00:00:00"/>
        <d v="2025-11-11T00:00:00"/>
        <d v="2025-09-27T00:00:00"/>
        <d v="2025-07-18T00:00:00"/>
        <d v="2025-09-21T00:00:00"/>
        <d v="2025-07-02T00:00:00"/>
        <d v="2025-09-23T00:00:00"/>
        <d v="2025-08-07T00:00:00"/>
        <d v="2025-08-16T00:00:00"/>
        <d v="2025-03-02T00:00:00"/>
        <d v="2025-06-13T00:00:00"/>
        <d v="2025-12-30T00:00:00"/>
        <d v="2025-03-13T00:00:00"/>
        <d v="2025-03-08T00:00:00"/>
        <d v="2025-07-30T00:00:00"/>
        <d v="2025-08-27T00:00:00"/>
        <d v="2025-12-04T00:00:00"/>
        <d v="2025-11-25T00:00:00"/>
        <d v="2025-10-07T00:00:00"/>
        <d v="2025-02-07T00:00:00"/>
        <d v="2025-06-24T00:00:00"/>
        <d v="2025-06-17T00:00:00"/>
        <d v="2025-11-02T00:00:00"/>
        <d v="2025-01-27T00:00:00"/>
        <d v="2025-08-19T00:00:00"/>
        <d v="2025-11-10T00:00:00"/>
        <d v="2025-01-09T00:00:00"/>
        <d v="2025-08-31T00:00:00"/>
        <d v="2025-11-19T00:00:00"/>
        <d v="2025-12-25T00:00:00"/>
        <d v="2025-10-13T00:00:00"/>
        <d v="2025-04-01T00:00:00"/>
        <d v="2025-01-05T00:00:00"/>
        <d v="2025-10-06T00:00:00"/>
        <d v="2025-10-18T00:00:00"/>
        <d v="2025-05-14T00:00:00"/>
        <d v="2025-12-01T00:00:00"/>
        <d v="2025-07-27T00:00:00"/>
        <d v="2025-12-26T00:00:00"/>
        <d v="2025-08-17T00:00:00"/>
        <d v="2025-08-30T00:00:00"/>
        <d v="2025-08-18T00:00:00"/>
        <d v="2025-04-02T00:00:00"/>
        <d v="2025-08-26T00:00:00"/>
        <d v="2025-06-27T00:00:00"/>
        <d v="2025-04-16T00:00:00"/>
        <d v="2025-10-22T00:00:00"/>
        <d v="2025-09-24T00:00:00"/>
        <d v="2025-09-11T00:00:00"/>
        <d v="2025-06-03T00:00:00"/>
        <d v="2025-04-17T00:00:00"/>
        <d v="2025-07-09T00:00:00"/>
        <d v="2025-05-17T00:00:00"/>
        <d v="2025-10-16T00:00:00"/>
        <d v="2025-01-16T00:00:00"/>
        <d v="2025-04-06T00:00:00"/>
        <d v="2025-02-14T00:00:00"/>
        <d v="2025-10-11T00:00:00"/>
        <d v="2025-05-18T00:00:00"/>
        <d v="2025-08-04T00:00:00"/>
        <d v="2025-11-12T00:00:00"/>
        <d v="2025-11-14T00:00:00"/>
        <d v="2025-07-21T00:00:00"/>
        <d v="2025-04-18T00:00:00"/>
        <d v="2025-11-03T00:00:00"/>
        <d v="2025-08-22T00:00:00"/>
        <d v="2025-11-28T00:00:00"/>
        <d v="2025-01-15T00:00:00"/>
        <d v="2025-04-11T00:00:00"/>
        <d v="2025-03-27T00:00:00"/>
        <d v="2025-01-17T00:00:00"/>
        <d v="2025-09-19T00:00:00"/>
        <d v="2025-01-31T00:00:00"/>
        <d v="2025-10-21T00:00:00"/>
        <d v="2025-12-02T00:00:00"/>
        <d v="2025-07-23T00:00:00"/>
        <d v="2025-06-22T00:00:00"/>
        <d v="2025-11-17T00:00:00"/>
        <d v="2025-01-01T00:00:00"/>
        <d v="2025-02-15T00:00:00"/>
        <d v="2025-11-29T00:00:00"/>
        <d v="2025-03-09T00:00:00"/>
        <d v="2025-04-15T00:00:00"/>
        <d v="2025-08-21T00:00:00"/>
        <d v="2025-03-12T00:00:00"/>
        <d v="2025-09-26T00:00:00"/>
        <d v="2025-09-13T00:00:00"/>
        <d v="2025-12-12T00:00:00"/>
        <d v="2025-07-08T00:00:00"/>
        <d v="2025-09-10T00:00:00"/>
        <d v="2025-02-13T00:00:00"/>
        <d v="2025-12-06T00:00:00"/>
        <d v="2025-06-12T00:00:00"/>
        <d v="2025-04-14T00:00:00"/>
        <d v="2025-10-28T00:00:00"/>
        <d v="2025-07-17T00:00:00"/>
        <d v="2025-03-24T00:00:00"/>
        <d v="2025-03-29T00:00:00"/>
        <d v="2025-09-08T00:00:00"/>
        <d v="2025-02-10T00:00:00"/>
        <d v="2025-05-16T00:00:00"/>
        <d v="2025-06-09T00:00:00"/>
        <d v="2025-01-30T00:00:00"/>
        <d v="2025-12-19T00:00:00"/>
        <d v="2025-05-22T00:00:00"/>
        <d v="2025-05-04T00:00:00"/>
        <d v="2025-09-12T00:00:00"/>
        <d v="2025-05-13T00:00:00"/>
        <d v="2025-04-25T00:00:00"/>
        <d v="2025-09-14T00:00:00"/>
        <d v="2025-04-03T00:00:00"/>
        <d v="2025-08-20T00:00:00"/>
        <d v="2025-05-29T00:00:00"/>
        <d v="2025-07-03T00:00:00"/>
        <d v="2025-03-20T00:00:00"/>
        <d v="2025-08-02T00:00:00"/>
      </sharedItems>
      <fieldGroup par="11"/>
    </cacheField>
    <cacheField name="Brand" numFmtId="0">
      <sharedItems count="8">
        <s v="Fenty Beauty"/>
        <s v="L'Oreal"/>
        <s v="Maybelline"/>
        <s v="MAC"/>
        <s v="Estee Lauder"/>
        <s v="Dior"/>
        <s v="Huda Beauty"/>
        <s v="NARS"/>
      </sharedItems>
    </cacheField>
    <cacheField name="Product_Type" numFmtId="0">
      <sharedItems count="8">
        <s v="Eyeliner"/>
        <s v="Highlighter"/>
        <s v="Lipstick"/>
        <s v="Concealer"/>
        <s v="Blush"/>
        <s v="Mascara"/>
        <s v="Eyeshadow"/>
        <s v="Foundation"/>
      </sharedItems>
    </cacheField>
    <cacheField name="Country" numFmtId="0">
      <sharedItems count="8">
        <s v="UAE"/>
        <s v="USA"/>
        <s v="Germany"/>
        <s v="France"/>
        <s v="UK"/>
        <s v="Saudi Arabia"/>
        <s v="India"/>
        <s v="Canada"/>
      </sharedItems>
    </cacheField>
    <cacheField name="Sales_Channel" numFmtId="0">
      <sharedItems count="4">
        <s v="Retail Store"/>
        <s v="Online"/>
        <s v="Mall"/>
        <s v="Beauty Salon"/>
      </sharedItems>
    </cacheField>
    <cacheField name="Payment_Method" numFmtId="0">
      <sharedItems count="3">
        <s v="Digital Wallet"/>
        <s v="Cash"/>
        <s v="Card"/>
      </sharedItems>
    </cacheField>
    <cacheField name="Price_USD" numFmtId="0">
      <sharedItems containsSemiMixedTypes="0" containsString="0" containsNumber="1" minValue="5.25" maxValue="119.93"/>
    </cacheField>
    <cacheField name="Units_Sold" numFmtId="0">
      <sharedItems containsSemiMixedTypes="0" containsString="0" containsNumber="1" containsInteger="1" minValue="1" maxValue="50"/>
    </cacheField>
    <cacheField name="Revenue_USD" numFmtId="0">
      <sharedItems containsSemiMixedTypes="0" containsString="0" containsNumber="1" minValue="25.64" maxValue="5987.5"/>
    </cacheField>
    <cacheField name="Days (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736975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x v="0"/>
    <x v="0"/>
    <x v="0"/>
    <x v="0"/>
    <n v="17.8"/>
    <n v="48"/>
    <n v="854.4"/>
  </r>
  <r>
    <n v="2"/>
    <x v="1"/>
    <x v="1"/>
    <x v="1"/>
    <x v="1"/>
    <x v="1"/>
    <x v="1"/>
    <n v="82.82"/>
    <n v="35"/>
    <n v="2898.7"/>
  </r>
  <r>
    <n v="3"/>
    <x v="2"/>
    <x v="2"/>
    <x v="0"/>
    <x v="2"/>
    <x v="0"/>
    <x v="2"/>
    <n v="31.76"/>
    <n v="39"/>
    <n v="1238.6400000000001"/>
  </r>
  <r>
    <n v="4"/>
    <x v="3"/>
    <x v="3"/>
    <x v="1"/>
    <x v="3"/>
    <x v="2"/>
    <x v="1"/>
    <n v="36.99"/>
    <n v="1"/>
    <n v="36.99"/>
  </r>
  <r>
    <n v="5"/>
    <x v="4"/>
    <x v="1"/>
    <x v="2"/>
    <x v="2"/>
    <x v="1"/>
    <x v="2"/>
    <n v="115.08"/>
    <n v="22"/>
    <n v="2531.7600000000002"/>
  </r>
  <r>
    <n v="6"/>
    <x v="5"/>
    <x v="4"/>
    <x v="2"/>
    <x v="2"/>
    <x v="1"/>
    <x v="0"/>
    <n v="74.430000000000007"/>
    <n v="3"/>
    <n v="223.29"/>
  </r>
  <r>
    <n v="7"/>
    <x v="6"/>
    <x v="5"/>
    <x v="0"/>
    <x v="4"/>
    <x v="1"/>
    <x v="0"/>
    <n v="100.38"/>
    <n v="40"/>
    <n v="4015.2"/>
  </r>
  <r>
    <n v="8"/>
    <x v="7"/>
    <x v="6"/>
    <x v="2"/>
    <x v="2"/>
    <x v="2"/>
    <x v="2"/>
    <n v="93.9"/>
    <n v="6"/>
    <n v="563.4"/>
  </r>
  <r>
    <n v="9"/>
    <x v="8"/>
    <x v="5"/>
    <x v="3"/>
    <x v="0"/>
    <x v="2"/>
    <x v="0"/>
    <n v="100.92"/>
    <n v="11"/>
    <n v="1110.1199999999999"/>
  </r>
  <r>
    <n v="10"/>
    <x v="9"/>
    <x v="3"/>
    <x v="0"/>
    <x v="5"/>
    <x v="3"/>
    <x v="2"/>
    <n v="79.52"/>
    <n v="39"/>
    <n v="3101.28"/>
  </r>
  <r>
    <n v="11"/>
    <x v="10"/>
    <x v="6"/>
    <x v="3"/>
    <x v="1"/>
    <x v="0"/>
    <x v="1"/>
    <n v="118.8"/>
    <n v="41"/>
    <n v="4870.8"/>
  </r>
  <r>
    <n v="12"/>
    <x v="11"/>
    <x v="6"/>
    <x v="3"/>
    <x v="0"/>
    <x v="3"/>
    <x v="2"/>
    <n v="51.13"/>
    <n v="5"/>
    <n v="255.65"/>
  </r>
  <r>
    <n v="13"/>
    <x v="12"/>
    <x v="3"/>
    <x v="0"/>
    <x v="6"/>
    <x v="3"/>
    <x v="0"/>
    <n v="57.77"/>
    <n v="17"/>
    <n v="982.09"/>
  </r>
  <r>
    <n v="14"/>
    <x v="13"/>
    <x v="4"/>
    <x v="2"/>
    <x v="1"/>
    <x v="1"/>
    <x v="1"/>
    <n v="46.63"/>
    <n v="9"/>
    <n v="419.67"/>
  </r>
  <r>
    <n v="15"/>
    <x v="14"/>
    <x v="7"/>
    <x v="2"/>
    <x v="2"/>
    <x v="3"/>
    <x v="0"/>
    <n v="23.4"/>
    <n v="44"/>
    <n v="1029.5999999999999"/>
  </r>
  <r>
    <n v="16"/>
    <x v="15"/>
    <x v="2"/>
    <x v="2"/>
    <x v="6"/>
    <x v="2"/>
    <x v="1"/>
    <n v="65.849999999999994"/>
    <n v="36"/>
    <n v="2370.6"/>
  </r>
  <r>
    <n v="17"/>
    <x v="6"/>
    <x v="2"/>
    <x v="4"/>
    <x v="5"/>
    <x v="1"/>
    <x v="0"/>
    <n v="55"/>
    <n v="30"/>
    <n v="1650"/>
  </r>
  <r>
    <n v="18"/>
    <x v="16"/>
    <x v="6"/>
    <x v="5"/>
    <x v="3"/>
    <x v="0"/>
    <x v="0"/>
    <n v="101.79"/>
    <n v="33"/>
    <n v="3359.07"/>
  </r>
  <r>
    <n v="19"/>
    <x v="17"/>
    <x v="5"/>
    <x v="6"/>
    <x v="1"/>
    <x v="1"/>
    <x v="2"/>
    <n v="110.63"/>
    <n v="39"/>
    <n v="4314.57"/>
  </r>
  <r>
    <n v="20"/>
    <x v="18"/>
    <x v="1"/>
    <x v="2"/>
    <x v="7"/>
    <x v="1"/>
    <x v="0"/>
    <n v="32.54"/>
    <n v="16"/>
    <n v="520.64"/>
  </r>
  <r>
    <n v="21"/>
    <x v="19"/>
    <x v="3"/>
    <x v="4"/>
    <x v="2"/>
    <x v="0"/>
    <x v="0"/>
    <n v="19.77"/>
    <n v="31"/>
    <n v="612.87"/>
  </r>
  <r>
    <n v="22"/>
    <x v="20"/>
    <x v="7"/>
    <x v="3"/>
    <x v="7"/>
    <x v="3"/>
    <x v="1"/>
    <n v="28.13"/>
    <n v="20"/>
    <n v="562.6"/>
  </r>
  <r>
    <n v="23"/>
    <x v="21"/>
    <x v="2"/>
    <x v="0"/>
    <x v="0"/>
    <x v="1"/>
    <x v="1"/>
    <n v="30.84"/>
    <n v="22"/>
    <n v="678.48"/>
  </r>
  <r>
    <n v="24"/>
    <x v="22"/>
    <x v="1"/>
    <x v="7"/>
    <x v="3"/>
    <x v="1"/>
    <x v="0"/>
    <n v="77.58"/>
    <n v="15"/>
    <n v="1163.7"/>
  </r>
  <r>
    <n v="25"/>
    <x v="23"/>
    <x v="6"/>
    <x v="5"/>
    <x v="7"/>
    <x v="0"/>
    <x v="2"/>
    <n v="37.020000000000003"/>
    <n v="32"/>
    <n v="1184.6400000000001"/>
  </r>
  <r>
    <n v="26"/>
    <x v="24"/>
    <x v="7"/>
    <x v="3"/>
    <x v="2"/>
    <x v="3"/>
    <x v="2"/>
    <n v="26.9"/>
    <n v="7"/>
    <n v="188.3"/>
  </r>
  <r>
    <n v="27"/>
    <x v="25"/>
    <x v="1"/>
    <x v="7"/>
    <x v="2"/>
    <x v="2"/>
    <x v="1"/>
    <n v="82.44"/>
    <n v="42"/>
    <n v="3462.48"/>
  </r>
  <r>
    <n v="28"/>
    <x v="26"/>
    <x v="4"/>
    <x v="5"/>
    <x v="2"/>
    <x v="0"/>
    <x v="2"/>
    <n v="27.03"/>
    <n v="35"/>
    <n v="946.05"/>
  </r>
  <r>
    <n v="29"/>
    <x v="27"/>
    <x v="4"/>
    <x v="2"/>
    <x v="1"/>
    <x v="1"/>
    <x v="1"/>
    <n v="33.729999999999997"/>
    <n v="5"/>
    <n v="168.65"/>
  </r>
  <r>
    <n v="30"/>
    <x v="23"/>
    <x v="4"/>
    <x v="0"/>
    <x v="2"/>
    <x v="1"/>
    <x v="1"/>
    <n v="24.13"/>
    <n v="32"/>
    <n v="772.16"/>
  </r>
  <r>
    <n v="31"/>
    <x v="28"/>
    <x v="0"/>
    <x v="6"/>
    <x v="6"/>
    <x v="3"/>
    <x v="0"/>
    <n v="5.25"/>
    <n v="25"/>
    <n v="131.25"/>
  </r>
  <r>
    <n v="32"/>
    <x v="29"/>
    <x v="3"/>
    <x v="0"/>
    <x v="6"/>
    <x v="0"/>
    <x v="1"/>
    <n v="81.12"/>
    <n v="32"/>
    <n v="2595.84"/>
  </r>
  <r>
    <n v="33"/>
    <x v="30"/>
    <x v="5"/>
    <x v="7"/>
    <x v="1"/>
    <x v="3"/>
    <x v="0"/>
    <n v="89.61"/>
    <n v="4"/>
    <n v="358.44"/>
  </r>
  <r>
    <n v="34"/>
    <x v="17"/>
    <x v="1"/>
    <x v="5"/>
    <x v="4"/>
    <x v="1"/>
    <x v="0"/>
    <n v="23.1"/>
    <n v="33"/>
    <n v="762.3"/>
  </r>
  <r>
    <n v="35"/>
    <x v="31"/>
    <x v="6"/>
    <x v="7"/>
    <x v="4"/>
    <x v="3"/>
    <x v="0"/>
    <n v="51.43"/>
    <n v="37"/>
    <n v="1902.91"/>
  </r>
  <r>
    <n v="36"/>
    <x v="32"/>
    <x v="0"/>
    <x v="0"/>
    <x v="3"/>
    <x v="0"/>
    <x v="2"/>
    <n v="70"/>
    <n v="21"/>
    <n v="1470"/>
  </r>
  <r>
    <n v="37"/>
    <x v="33"/>
    <x v="0"/>
    <x v="6"/>
    <x v="3"/>
    <x v="1"/>
    <x v="1"/>
    <n v="20.05"/>
    <n v="42"/>
    <n v="842.1"/>
  </r>
  <r>
    <n v="38"/>
    <x v="34"/>
    <x v="1"/>
    <x v="2"/>
    <x v="0"/>
    <x v="2"/>
    <x v="1"/>
    <n v="76.430000000000007"/>
    <n v="37"/>
    <n v="2827.91"/>
  </r>
  <r>
    <n v="39"/>
    <x v="35"/>
    <x v="5"/>
    <x v="4"/>
    <x v="5"/>
    <x v="3"/>
    <x v="0"/>
    <n v="106.3"/>
    <n v="16"/>
    <n v="1700.8"/>
  </r>
  <r>
    <n v="40"/>
    <x v="36"/>
    <x v="2"/>
    <x v="4"/>
    <x v="4"/>
    <x v="0"/>
    <x v="2"/>
    <n v="39.79"/>
    <n v="42"/>
    <n v="1671.18"/>
  </r>
  <r>
    <n v="41"/>
    <x v="37"/>
    <x v="3"/>
    <x v="4"/>
    <x v="6"/>
    <x v="0"/>
    <x v="0"/>
    <n v="107.32"/>
    <n v="48"/>
    <n v="5151.3599999999997"/>
  </r>
  <r>
    <n v="42"/>
    <x v="38"/>
    <x v="0"/>
    <x v="6"/>
    <x v="6"/>
    <x v="1"/>
    <x v="1"/>
    <n v="28.41"/>
    <n v="41"/>
    <n v="1164.81"/>
  </r>
  <r>
    <n v="43"/>
    <x v="39"/>
    <x v="2"/>
    <x v="7"/>
    <x v="3"/>
    <x v="0"/>
    <x v="0"/>
    <n v="53.71"/>
    <n v="18"/>
    <n v="966.78"/>
  </r>
  <r>
    <n v="44"/>
    <x v="40"/>
    <x v="7"/>
    <x v="7"/>
    <x v="4"/>
    <x v="1"/>
    <x v="0"/>
    <n v="23.58"/>
    <n v="29"/>
    <n v="683.82"/>
  </r>
  <r>
    <n v="45"/>
    <x v="41"/>
    <x v="3"/>
    <x v="1"/>
    <x v="5"/>
    <x v="1"/>
    <x v="2"/>
    <n v="67.739999999999995"/>
    <n v="24"/>
    <n v="1625.76"/>
  </r>
  <r>
    <n v="46"/>
    <x v="42"/>
    <x v="5"/>
    <x v="0"/>
    <x v="0"/>
    <x v="1"/>
    <x v="2"/>
    <n v="108.38"/>
    <n v="3"/>
    <n v="325.14"/>
  </r>
  <r>
    <n v="47"/>
    <x v="43"/>
    <x v="3"/>
    <x v="0"/>
    <x v="5"/>
    <x v="0"/>
    <x v="2"/>
    <n v="106.68"/>
    <n v="27"/>
    <n v="2880.36"/>
  </r>
  <r>
    <n v="48"/>
    <x v="44"/>
    <x v="7"/>
    <x v="0"/>
    <x v="6"/>
    <x v="0"/>
    <x v="0"/>
    <n v="25.63"/>
    <n v="22"/>
    <n v="563.86"/>
  </r>
  <r>
    <n v="49"/>
    <x v="45"/>
    <x v="4"/>
    <x v="0"/>
    <x v="0"/>
    <x v="3"/>
    <x v="2"/>
    <n v="48.99"/>
    <n v="3"/>
    <n v="146.97"/>
  </r>
  <r>
    <n v="50"/>
    <x v="46"/>
    <x v="6"/>
    <x v="7"/>
    <x v="0"/>
    <x v="3"/>
    <x v="2"/>
    <n v="99.36"/>
    <n v="15"/>
    <n v="1490.4"/>
  </r>
  <r>
    <n v="51"/>
    <x v="47"/>
    <x v="0"/>
    <x v="3"/>
    <x v="2"/>
    <x v="2"/>
    <x v="1"/>
    <n v="104.4"/>
    <n v="50"/>
    <n v="5220"/>
  </r>
  <r>
    <n v="52"/>
    <x v="37"/>
    <x v="3"/>
    <x v="4"/>
    <x v="1"/>
    <x v="1"/>
    <x v="0"/>
    <n v="105.86"/>
    <n v="17"/>
    <n v="1799.62"/>
  </r>
  <r>
    <n v="53"/>
    <x v="48"/>
    <x v="7"/>
    <x v="2"/>
    <x v="2"/>
    <x v="0"/>
    <x v="2"/>
    <n v="44.75"/>
    <n v="21"/>
    <n v="939.75"/>
  </r>
  <r>
    <n v="54"/>
    <x v="49"/>
    <x v="6"/>
    <x v="3"/>
    <x v="2"/>
    <x v="1"/>
    <x v="0"/>
    <n v="86.51"/>
    <n v="1"/>
    <n v="86.51"/>
  </r>
  <r>
    <n v="55"/>
    <x v="50"/>
    <x v="1"/>
    <x v="4"/>
    <x v="6"/>
    <x v="3"/>
    <x v="2"/>
    <n v="76.66"/>
    <n v="43"/>
    <n v="3296.38"/>
  </r>
  <r>
    <n v="56"/>
    <x v="51"/>
    <x v="3"/>
    <x v="0"/>
    <x v="2"/>
    <x v="3"/>
    <x v="0"/>
    <n v="85.18"/>
    <n v="36"/>
    <n v="3066.48"/>
  </r>
  <r>
    <n v="57"/>
    <x v="52"/>
    <x v="7"/>
    <x v="7"/>
    <x v="6"/>
    <x v="2"/>
    <x v="1"/>
    <n v="75.78"/>
    <n v="20"/>
    <n v="1515.6"/>
  </r>
  <r>
    <n v="58"/>
    <x v="53"/>
    <x v="5"/>
    <x v="6"/>
    <x v="7"/>
    <x v="3"/>
    <x v="0"/>
    <n v="95.36"/>
    <n v="39"/>
    <n v="3719.04"/>
  </r>
  <r>
    <n v="59"/>
    <x v="54"/>
    <x v="3"/>
    <x v="2"/>
    <x v="6"/>
    <x v="2"/>
    <x v="1"/>
    <n v="63.79"/>
    <n v="48"/>
    <n v="3061.92"/>
  </r>
  <r>
    <n v="60"/>
    <x v="31"/>
    <x v="6"/>
    <x v="5"/>
    <x v="1"/>
    <x v="1"/>
    <x v="1"/>
    <n v="82.37"/>
    <n v="15"/>
    <n v="1235.55"/>
  </r>
  <r>
    <n v="61"/>
    <x v="55"/>
    <x v="1"/>
    <x v="6"/>
    <x v="2"/>
    <x v="0"/>
    <x v="0"/>
    <n v="75.3"/>
    <n v="50"/>
    <n v="3765"/>
  </r>
  <r>
    <n v="62"/>
    <x v="56"/>
    <x v="6"/>
    <x v="5"/>
    <x v="1"/>
    <x v="1"/>
    <x v="2"/>
    <n v="49.16"/>
    <n v="26"/>
    <n v="1278.1600000000001"/>
  </r>
  <r>
    <n v="63"/>
    <x v="57"/>
    <x v="4"/>
    <x v="7"/>
    <x v="0"/>
    <x v="1"/>
    <x v="2"/>
    <n v="25.23"/>
    <n v="45"/>
    <n v="1135.3499999999999"/>
  </r>
  <r>
    <n v="64"/>
    <x v="58"/>
    <x v="5"/>
    <x v="6"/>
    <x v="2"/>
    <x v="3"/>
    <x v="1"/>
    <n v="97.16"/>
    <n v="43"/>
    <n v="4177.88"/>
  </r>
  <r>
    <n v="65"/>
    <x v="55"/>
    <x v="6"/>
    <x v="4"/>
    <x v="7"/>
    <x v="0"/>
    <x v="2"/>
    <n v="56.76"/>
    <n v="49"/>
    <n v="2781.24"/>
  </r>
  <r>
    <n v="66"/>
    <x v="59"/>
    <x v="6"/>
    <x v="4"/>
    <x v="3"/>
    <x v="2"/>
    <x v="0"/>
    <n v="13.91"/>
    <n v="19"/>
    <n v="264.29000000000002"/>
  </r>
  <r>
    <n v="67"/>
    <x v="60"/>
    <x v="7"/>
    <x v="5"/>
    <x v="0"/>
    <x v="1"/>
    <x v="2"/>
    <n v="20.91"/>
    <n v="15"/>
    <n v="313.64999999999998"/>
  </r>
  <r>
    <n v="68"/>
    <x v="24"/>
    <x v="7"/>
    <x v="7"/>
    <x v="0"/>
    <x v="3"/>
    <x v="2"/>
    <n v="43.05"/>
    <n v="30"/>
    <n v="1291.5"/>
  </r>
  <r>
    <n v="69"/>
    <x v="61"/>
    <x v="7"/>
    <x v="6"/>
    <x v="1"/>
    <x v="2"/>
    <x v="2"/>
    <n v="113.8"/>
    <n v="2"/>
    <n v="227.6"/>
  </r>
  <r>
    <n v="70"/>
    <x v="62"/>
    <x v="6"/>
    <x v="6"/>
    <x v="0"/>
    <x v="2"/>
    <x v="2"/>
    <n v="103.15"/>
    <n v="27"/>
    <n v="2785.05"/>
  </r>
  <r>
    <n v="71"/>
    <x v="63"/>
    <x v="7"/>
    <x v="5"/>
    <x v="7"/>
    <x v="0"/>
    <x v="0"/>
    <n v="8.34"/>
    <n v="22"/>
    <n v="183.48"/>
  </r>
  <r>
    <n v="72"/>
    <x v="64"/>
    <x v="2"/>
    <x v="2"/>
    <x v="2"/>
    <x v="0"/>
    <x v="2"/>
    <n v="8.1"/>
    <n v="26"/>
    <n v="210.6"/>
  </r>
  <r>
    <n v="73"/>
    <x v="65"/>
    <x v="5"/>
    <x v="0"/>
    <x v="7"/>
    <x v="2"/>
    <x v="2"/>
    <n v="10.78"/>
    <n v="25"/>
    <n v="269.5"/>
  </r>
  <r>
    <n v="74"/>
    <x v="28"/>
    <x v="0"/>
    <x v="2"/>
    <x v="7"/>
    <x v="1"/>
    <x v="0"/>
    <n v="37"/>
    <n v="27"/>
    <n v="999"/>
  </r>
  <r>
    <n v="75"/>
    <x v="66"/>
    <x v="6"/>
    <x v="2"/>
    <x v="1"/>
    <x v="1"/>
    <x v="1"/>
    <n v="10.99"/>
    <n v="23"/>
    <n v="252.77"/>
  </r>
  <r>
    <n v="76"/>
    <x v="67"/>
    <x v="3"/>
    <x v="0"/>
    <x v="5"/>
    <x v="3"/>
    <x v="0"/>
    <n v="101.51"/>
    <n v="40"/>
    <n v="4060.4"/>
  </r>
  <r>
    <n v="77"/>
    <x v="68"/>
    <x v="4"/>
    <x v="4"/>
    <x v="3"/>
    <x v="0"/>
    <x v="0"/>
    <n v="69.86"/>
    <n v="14"/>
    <n v="978.04"/>
  </r>
  <r>
    <n v="78"/>
    <x v="69"/>
    <x v="1"/>
    <x v="5"/>
    <x v="6"/>
    <x v="1"/>
    <x v="0"/>
    <n v="115.83"/>
    <n v="46"/>
    <n v="5328.18"/>
  </r>
  <r>
    <n v="79"/>
    <x v="70"/>
    <x v="7"/>
    <x v="1"/>
    <x v="0"/>
    <x v="1"/>
    <x v="0"/>
    <n v="111.82"/>
    <n v="37"/>
    <n v="4137.34"/>
  </r>
  <r>
    <n v="80"/>
    <x v="20"/>
    <x v="1"/>
    <x v="4"/>
    <x v="4"/>
    <x v="1"/>
    <x v="2"/>
    <n v="100.52"/>
    <n v="16"/>
    <n v="1608.32"/>
  </r>
  <r>
    <n v="81"/>
    <x v="71"/>
    <x v="1"/>
    <x v="3"/>
    <x v="1"/>
    <x v="3"/>
    <x v="2"/>
    <n v="54.26"/>
    <n v="24"/>
    <n v="1302.24"/>
  </r>
  <r>
    <n v="82"/>
    <x v="72"/>
    <x v="4"/>
    <x v="5"/>
    <x v="2"/>
    <x v="0"/>
    <x v="0"/>
    <n v="54.86"/>
    <n v="24"/>
    <n v="1316.64"/>
  </r>
  <r>
    <n v="83"/>
    <x v="73"/>
    <x v="4"/>
    <x v="6"/>
    <x v="2"/>
    <x v="2"/>
    <x v="2"/>
    <n v="116.03"/>
    <n v="18"/>
    <n v="2088.54"/>
  </r>
  <r>
    <n v="84"/>
    <x v="74"/>
    <x v="0"/>
    <x v="6"/>
    <x v="0"/>
    <x v="3"/>
    <x v="0"/>
    <n v="100.53"/>
    <n v="6"/>
    <n v="603.17999999999995"/>
  </r>
  <r>
    <n v="85"/>
    <x v="75"/>
    <x v="2"/>
    <x v="6"/>
    <x v="3"/>
    <x v="0"/>
    <x v="2"/>
    <n v="81.84"/>
    <n v="22"/>
    <n v="1800.48"/>
  </r>
  <r>
    <n v="86"/>
    <x v="76"/>
    <x v="5"/>
    <x v="4"/>
    <x v="6"/>
    <x v="1"/>
    <x v="0"/>
    <n v="45.8"/>
    <n v="17"/>
    <n v="778.6"/>
  </r>
  <r>
    <n v="87"/>
    <x v="77"/>
    <x v="7"/>
    <x v="6"/>
    <x v="0"/>
    <x v="3"/>
    <x v="0"/>
    <n v="14.85"/>
    <n v="47"/>
    <n v="697.95"/>
  </r>
  <r>
    <n v="88"/>
    <x v="78"/>
    <x v="1"/>
    <x v="4"/>
    <x v="0"/>
    <x v="3"/>
    <x v="0"/>
    <n v="61.44"/>
    <n v="2"/>
    <n v="122.88"/>
  </r>
  <r>
    <n v="89"/>
    <x v="79"/>
    <x v="5"/>
    <x v="6"/>
    <x v="3"/>
    <x v="3"/>
    <x v="0"/>
    <n v="40.21"/>
    <n v="38"/>
    <n v="1527.98"/>
  </r>
  <r>
    <n v="90"/>
    <x v="80"/>
    <x v="4"/>
    <x v="4"/>
    <x v="6"/>
    <x v="2"/>
    <x v="1"/>
    <n v="43.04"/>
    <n v="45"/>
    <n v="1936.8"/>
  </r>
  <r>
    <n v="91"/>
    <x v="81"/>
    <x v="1"/>
    <x v="5"/>
    <x v="0"/>
    <x v="0"/>
    <x v="0"/>
    <n v="87.95"/>
    <n v="21"/>
    <n v="1846.95"/>
  </r>
  <r>
    <n v="92"/>
    <x v="82"/>
    <x v="0"/>
    <x v="2"/>
    <x v="0"/>
    <x v="2"/>
    <x v="1"/>
    <n v="36.799999999999997"/>
    <n v="38"/>
    <n v="1398.4"/>
  </r>
  <r>
    <n v="93"/>
    <x v="83"/>
    <x v="3"/>
    <x v="4"/>
    <x v="1"/>
    <x v="1"/>
    <x v="0"/>
    <n v="25.64"/>
    <n v="1"/>
    <n v="25.64"/>
  </r>
  <r>
    <n v="94"/>
    <x v="84"/>
    <x v="4"/>
    <x v="2"/>
    <x v="1"/>
    <x v="2"/>
    <x v="2"/>
    <n v="85.2"/>
    <n v="9"/>
    <n v="766.8"/>
  </r>
  <r>
    <n v="95"/>
    <x v="85"/>
    <x v="2"/>
    <x v="4"/>
    <x v="7"/>
    <x v="1"/>
    <x v="1"/>
    <n v="55.65"/>
    <n v="12"/>
    <n v="667.8"/>
  </r>
  <r>
    <n v="96"/>
    <x v="86"/>
    <x v="2"/>
    <x v="5"/>
    <x v="5"/>
    <x v="2"/>
    <x v="1"/>
    <n v="61.55"/>
    <n v="37"/>
    <n v="2277.35"/>
  </r>
  <r>
    <n v="97"/>
    <x v="26"/>
    <x v="7"/>
    <x v="0"/>
    <x v="2"/>
    <x v="3"/>
    <x v="2"/>
    <n v="18.62"/>
    <n v="49"/>
    <n v="912.38"/>
  </r>
  <r>
    <n v="98"/>
    <x v="16"/>
    <x v="0"/>
    <x v="7"/>
    <x v="4"/>
    <x v="0"/>
    <x v="0"/>
    <n v="103.92"/>
    <n v="28"/>
    <n v="2909.76"/>
  </r>
  <r>
    <n v="99"/>
    <x v="76"/>
    <x v="3"/>
    <x v="0"/>
    <x v="5"/>
    <x v="1"/>
    <x v="1"/>
    <n v="35.43"/>
    <n v="6"/>
    <n v="212.58"/>
  </r>
  <r>
    <n v="100"/>
    <x v="87"/>
    <x v="4"/>
    <x v="4"/>
    <x v="1"/>
    <x v="0"/>
    <x v="2"/>
    <n v="51.98"/>
    <n v="45"/>
    <n v="2339.1"/>
  </r>
  <r>
    <n v="101"/>
    <x v="88"/>
    <x v="1"/>
    <x v="0"/>
    <x v="6"/>
    <x v="0"/>
    <x v="2"/>
    <n v="37.51"/>
    <n v="30"/>
    <n v="1125.3"/>
  </r>
  <r>
    <n v="102"/>
    <x v="68"/>
    <x v="3"/>
    <x v="4"/>
    <x v="5"/>
    <x v="1"/>
    <x v="1"/>
    <n v="67.62"/>
    <n v="42"/>
    <n v="2840.04"/>
  </r>
  <r>
    <n v="103"/>
    <x v="89"/>
    <x v="0"/>
    <x v="6"/>
    <x v="4"/>
    <x v="3"/>
    <x v="0"/>
    <n v="96.15"/>
    <n v="39"/>
    <n v="3749.85"/>
  </r>
  <r>
    <n v="104"/>
    <x v="90"/>
    <x v="4"/>
    <x v="6"/>
    <x v="4"/>
    <x v="1"/>
    <x v="2"/>
    <n v="85.47"/>
    <n v="18"/>
    <n v="1538.46"/>
  </r>
  <r>
    <n v="105"/>
    <x v="91"/>
    <x v="1"/>
    <x v="0"/>
    <x v="1"/>
    <x v="2"/>
    <x v="0"/>
    <n v="74.430000000000007"/>
    <n v="2"/>
    <n v="148.86000000000001"/>
  </r>
  <r>
    <n v="106"/>
    <x v="92"/>
    <x v="4"/>
    <x v="6"/>
    <x v="6"/>
    <x v="0"/>
    <x v="0"/>
    <n v="92.76"/>
    <n v="12"/>
    <n v="1113.1199999999999"/>
  </r>
  <r>
    <n v="107"/>
    <x v="93"/>
    <x v="1"/>
    <x v="6"/>
    <x v="3"/>
    <x v="3"/>
    <x v="2"/>
    <n v="78"/>
    <n v="32"/>
    <n v="2496"/>
  </r>
  <r>
    <n v="108"/>
    <x v="94"/>
    <x v="5"/>
    <x v="1"/>
    <x v="7"/>
    <x v="2"/>
    <x v="0"/>
    <n v="82.07"/>
    <n v="11"/>
    <n v="902.77"/>
  </r>
  <r>
    <n v="109"/>
    <x v="86"/>
    <x v="2"/>
    <x v="6"/>
    <x v="4"/>
    <x v="2"/>
    <x v="2"/>
    <n v="98.56"/>
    <n v="36"/>
    <n v="3548.16"/>
  </r>
  <r>
    <n v="110"/>
    <x v="91"/>
    <x v="7"/>
    <x v="7"/>
    <x v="7"/>
    <x v="3"/>
    <x v="1"/>
    <n v="18.329999999999998"/>
    <n v="50"/>
    <n v="916.5"/>
  </r>
  <r>
    <n v="111"/>
    <x v="95"/>
    <x v="4"/>
    <x v="6"/>
    <x v="1"/>
    <x v="0"/>
    <x v="2"/>
    <n v="64.62"/>
    <n v="40"/>
    <n v="2584.8000000000002"/>
  </r>
  <r>
    <n v="112"/>
    <x v="80"/>
    <x v="4"/>
    <x v="6"/>
    <x v="4"/>
    <x v="1"/>
    <x v="0"/>
    <n v="20.07"/>
    <n v="19"/>
    <n v="381.33"/>
  </r>
  <r>
    <n v="113"/>
    <x v="96"/>
    <x v="3"/>
    <x v="4"/>
    <x v="1"/>
    <x v="3"/>
    <x v="1"/>
    <n v="96.92"/>
    <n v="46"/>
    <n v="4458.32"/>
  </r>
  <r>
    <n v="114"/>
    <x v="97"/>
    <x v="4"/>
    <x v="2"/>
    <x v="5"/>
    <x v="3"/>
    <x v="0"/>
    <n v="119.11"/>
    <n v="8"/>
    <n v="952.88"/>
  </r>
  <r>
    <n v="115"/>
    <x v="84"/>
    <x v="7"/>
    <x v="6"/>
    <x v="7"/>
    <x v="0"/>
    <x v="2"/>
    <n v="63.52"/>
    <n v="18"/>
    <n v="1143.3599999999999"/>
  </r>
  <r>
    <n v="116"/>
    <x v="98"/>
    <x v="3"/>
    <x v="2"/>
    <x v="6"/>
    <x v="3"/>
    <x v="2"/>
    <n v="21.63"/>
    <n v="13"/>
    <n v="281.19"/>
  </r>
  <r>
    <n v="117"/>
    <x v="99"/>
    <x v="0"/>
    <x v="4"/>
    <x v="7"/>
    <x v="0"/>
    <x v="2"/>
    <n v="35.72"/>
    <n v="1"/>
    <n v="35.72"/>
  </r>
  <r>
    <n v="118"/>
    <x v="100"/>
    <x v="7"/>
    <x v="6"/>
    <x v="3"/>
    <x v="0"/>
    <x v="0"/>
    <n v="60.7"/>
    <n v="22"/>
    <n v="1335.4"/>
  </r>
  <r>
    <n v="119"/>
    <x v="101"/>
    <x v="7"/>
    <x v="7"/>
    <x v="3"/>
    <x v="3"/>
    <x v="0"/>
    <n v="70.760000000000005"/>
    <n v="15"/>
    <n v="1061.4000000000001"/>
  </r>
  <r>
    <n v="120"/>
    <x v="102"/>
    <x v="3"/>
    <x v="6"/>
    <x v="1"/>
    <x v="0"/>
    <x v="0"/>
    <n v="49.4"/>
    <n v="43"/>
    <n v="2124.1999999999998"/>
  </r>
  <r>
    <n v="121"/>
    <x v="103"/>
    <x v="4"/>
    <x v="2"/>
    <x v="7"/>
    <x v="1"/>
    <x v="0"/>
    <n v="43.18"/>
    <n v="7"/>
    <n v="302.26"/>
  </r>
  <r>
    <n v="122"/>
    <x v="104"/>
    <x v="3"/>
    <x v="2"/>
    <x v="7"/>
    <x v="2"/>
    <x v="2"/>
    <n v="52.15"/>
    <n v="42"/>
    <n v="2190.3000000000002"/>
  </r>
  <r>
    <n v="123"/>
    <x v="105"/>
    <x v="1"/>
    <x v="3"/>
    <x v="2"/>
    <x v="2"/>
    <x v="0"/>
    <n v="84.66"/>
    <n v="42"/>
    <n v="3555.72"/>
  </r>
  <r>
    <n v="124"/>
    <x v="106"/>
    <x v="1"/>
    <x v="0"/>
    <x v="6"/>
    <x v="0"/>
    <x v="0"/>
    <n v="105.32"/>
    <n v="3"/>
    <n v="315.95999999999998"/>
  </r>
  <r>
    <n v="125"/>
    <x v="107"/>
    <x v="1"/>
    <x v="6"/>
    <x v="5"/>
    <x v="2"/>
    <x v="1"/>
    <n v="54.91"/>
    <n v="7"/>
    <n v="384.37"/>
  </r>
  <r>
    <n v="126"/>
    <x v="108"/>
    <x v="0"/>
    <x v="3"/>
    <x v="3"/>
    <x v="3"/>
    <x v="1"/>
    <n v="42.3"/>
    <n v="4"/>
    <n v="169.2"/>
  </r>
  <r>
    <n v="127"/>
    <x v="74"/>
    <x v="3"/>
    <x v="5"/>
    <x v="5"/>
    <x v="1"/>
    <x v="0"/>
    <n v="66.08"/>
    <n v="37"/>
    <n v="2444.96"/>
  </r>
  <r>
    <n v="128"/>
    <x v="102"/>
    <x v="4"/>
    <x v="5"/>
    <x v="0"/>
    <x v="3"/>
    <x v="0"/>
    <n v="76.27"/>
    <n v="16"/>
    <n v="1220.32"/>
  </r>
  <r>
    <n v="129"/>
    <x v="109"/>
    <x v="2"/>
    <x v="6"/>
    <x v="6"/>
    <x v="0"/>
    <x v="1"/>
    <n v="57.85"/>
    <n v="43"/>
    <n v="2487.5500000000002"/>
  </r>
  <r>
    <n v="130"/>
    <x v="110"/>
    <x v="0"/>
    <x v="1"/>
    <x v="6"/>
    <x v="3"/>
    <x v="2"/>
    <n v="113.7"/>
    <n v="38"/>
    <n v="4320.6000000000004"/>
  </r>
  <r>
    <n v="131"/>
    <x v="111"/>
    <x v="1"/>
    <x v="0"/>
    <x v="2"/>
    <x v="2"/>
    <x v="0"/>
    <n v="119.93"/>
    <n v="31"/>
    <n v="3717.83"/>
  </r>
  <r>
    <n v="132"/>
    <x v="112"/>
    <x v="2"/>
    <x v="1"/>
    <x v="6"/>
    <x v="1"/>
    <x v="0"/>
    <n v="119.16"/>
    <n v="19"/>
    <n v="2264.04"/>
  </r>
  <r>
    <n v="133"/>
    <x v="113"/>
    <x v="4"/>
    <x v="4"/>
    <x v="0"/>
    <x v="2"/>
    <x v="1"/>
    <n v="94.51"/>
    <n v="4"/>
    <n v="378.04"/>
  </r>
  <r>
    <n v="134"/>
    <x v="8"/>
    <x v="3"/>
    <x v="2"/>
    <x v="1"/>
    <x v="2"/>
    <x v="2"/>
    <n v="26.87"/>
    <n v="17"/>
    <n v="456.79"/>
  </r>
  <r>
    <n v="135"/>
    <x v="114"/>
    <x v="3"/>
    <x v="2"/>
    <x v="6"/>
    <x v="2"/>
    <x v="0"/>
    <n v="71.650000000000006"/>
    <n v="47"/>
    <n v="3367.55"/>
  </r>
  <r>
    <n v="136"/>
    <x v="115"/>
    <x v="5"/>
    <x v="4"/>
    <x v="5"/>
    <x v="2"/>
    <x v="2"/>
    <n v="25.2"/>
    <n v="9"/>
    <n v="226.8"/>
  </r>
  <r>
    <n v="137"/>
    <x v="112"/>
    <x v="1"/>
    <x v="6"/>
    <x v="4"/>
    <x v="0"/>
    <x v="1"/>
    <n v="90.85"/>
    <n v="22"/>
    <n v="1998.7"/>
  </r>
  <r>
    <n v="138"/>
    <x v="116"/>
    <x v="5"/>
    <x v="2"/>
    <x v="2"/>
    <x v="1"/>
    <x v="2"/>
    <n v="88.28"/>
    <n v="26"/>
    <n v="2295.2800000000002"/>
  </r>
  <r>
    <n v="139"/>
    <x v="117"/>
    <x v="0"/>
    <x v="1"/>
    <x v="3"/>
    <x v="1"/>
    <x v="0"/>
    <n v="19.21"/>
    <n v="24"/>
    <n v="461.04"/>
  </r>
  <r>
    <n v="140"/>
    <x v="118"/>
    <x v="5"/>
    <x v="0"/>
    <x v="4"/>
    <x v="3"/>
    <x v="0"/>
    <n v="59.22"/>
    <n v="40"/>
    <n v="2368.8000000000002"/>
  </r>
  <r>
    <n v="141"/>
    <x v="119"/>
    <x v="3"/>
    <x v="7"/>
    <x v="1"/>
    <x v="2"/>
    <x v="2"/>
    <n v="79.66"/>
    <n v="8"/>
    <n v="637.28"/>
  </r>
  <r>
    <n v="142"/>
    <x v="37"/>
    <x v="3"/>
    <x v="1"/>
    <x v="7"/>
    <x v="2"/>
    <x v="0"/>
    <n v="16.18"/>
    <n v="35"/>
    <n v="566.29999999999995"/>
  </r>
  <r>
    <n v="143"/>
    <x v="56"/>
    <x v="3"/>
    <x v="1"/>
    <x v="4"/>
    <x v="3"/>
    <x v="0"/>
    <n v="113.79"/>
    <n v="27"/>
    <n v="3072.33"/>
  </r>
  <r>
    <n v="144"/>
    <x v="24"/>
    <x v="2"/>
    <x v="3"/>
    <x v="0"/>
    <x v="3"/>
    <x v="2"/>
    <n v="112.99"/>
    <n v="18"/>
    <n v="2033.82"/>
  </r>
  <r>
    <n v="145"/>
    <x v="31"/>
    <x v="5"/>
    <x v="3"/>
    <x v="1"/>
    <x v="3"/>
    <x v="2"/>
    <n v="103.38"/>
    <n v="7"/>
    <n v="723.66"/>
  </r>
  <r>
    <n v="146"/>
    <x v="77"/>
    <x v="1"/>
    <x v="0"/>
    <x v="1"/>
    <x v="1"/>
    <x v="2"/>
    <n v="116.34"/>
    <n v="30"/>
    <n v="3490.2"/>
  </r>
  <r>
    <n v="147"/>
    <x v="79"/>
    <x v="6"/>
    <x v="2"/>
    <x v="0"/>
    <x v="0"/>
    <x v="1"/>
    <n v="118.71"/>
    <n v="37"/>
    <n v="4392.2700000000004"/>
  </r>
  <r>
    <n v="148"/>
    <x v="120"/>
    <x v="2"/>
    <x v="4"/>
    <x v="5"/>
    <x v="0"/>
    <x v="0"/>
    <n v="94.05"/>
    <n v="39"/>
    <n v="3667.95"/>
  </r>
  <r>
    <n v="149"/>
    <x v="121"/>
    <x v="2"/>
    <x v="5"/>
    <x v="1"/>
    <x v="2"/>
    <x v="1"/>
    <n v="96.83"/>
    <n v="8"/>
    <n v="774.64"/>
  </r>
  <r>
    <n v="150"/>
    <x v="3"/>
    <x v="0"/>
    <x v="7"/>
    <x v="5"/>
    <x v="3"/>
    <x v="0"/>
    <n v="42.23"/>
    <n v="12"/>
    <n v="506.76"/>
  </r>
  <r>
    <n v="151"/>
    <x v="68"/>
    <x v="4"/>
    <x v="3"/>
    <x v="4"/>
    <x v="3"/>
    <x v="0"/>
    <n v="90.75"/>
    <n v="31"/>
    <n v="2813.25"/>
  </r>
  <r>
    <n v="152"/>
    <x v="122"/>
    <x v="0"/>
    <x v="6"/>
    <x v="1"/>
    <x v="1"/>
    <x v="2"/>
    <n v="113.72"/>
    <n v="3"/>
    <n v="341.16"/>
  </r>
  <r>
    <n v="153"/>
    <x v="86"/>
    <x v="4"/>
    <x v="6"/>
    <x v="4"/>
    <x v="1"/>
    <x v="2"/>
    <n v="54.02"/>
    <n v="7"/>
    <n v="378.14"/>
  </r>
  <r>
    <n v="154"/>
    <x v="96"/>
    <x v="0"/>
    <x v="3"/>
    <x v="2"/>
    <x v="2"/>
    <x v="2"/>
    <n v="22.06"/>
    <n v="9"/>
    <n v="198.54"/>
  </r>
  <r>
    <n v="155"/>
    <x v="123"/>
    <x v="1"/>
    <x v="0"/>
    <x v="2"/>
    <x v="3"/>
    <x v="1"/>
    <n v="74.62"/>
    <n v="7"/>
    <n v="522.34"/>
  </r>
  <r>
    <n v="156"/>
    <x v="124"/>
    <x v="7"/>
    <x v="1"/>
    <x v="4"/>
    <x v="2"/>
    <x v="2"/>
    <n v="43.98"/>
    <n v="30"/>
    <n v="1319.4"/>
  </r>
  <r>
    <n v="157"/>
    <x v="125"/>
    <x v="3"/>
    <x v="6"/>
    <x v="4"/>
    <x v="1"/>
    <x v="1"/>
    <n v="81.489999999999995"/>
    <n v="24"/>
    <n v="1955.76"/>
  </r>
  <r>
    <n v="158"/>
    <x v="126"/>
    <x v="5"/>
    <x v="5"/>
    <x v="1"/>
    <x v="2"/>
    <x v="0"/>
    <n v="54.67"/>
    <n v="48"/>
    <n v="2624.16"/>
  </r>
  <r>
    <n v="159"/>
    <x v="127"/>
    <x v="7"/>
    <x v="7"/>
    <x v="6"/>
    <x v="2"/>
    <x v="2"/>
    <n v="52.24"/>
    <n v="43"/>
    <n v="2246.3200000000002"/>
  </r>
  <r>
    <n v="160"/>
    <x v="128"/>
    <x v="3"/>
    <x v="6"/>
    <x v="0"/>
    <x v="1"/>
    <x v="2"/>
    <n v="71.459999999999994"/>
    <n v="14"/>
    <n v="1000.44"/>
  </r>
  <r>
    <n v="161"/>
    <x v="29"/>
    <x v="0"/>
    <x v="0"/>
    <x v="2"/>
    <x v="1"/>
    <x v="0"/>
    <n v="47.27"/>
    <n v="49"/>
    <n v="2316.23"/>
  </r>
  <r>
    <n v="162"/>
    <x v="129"/>
    <x v="2"/>
    <x v="5"/>
    <x v="6"/>
    <x v="2"/>
    <x v="2"/>
    <n v="100.39"/>
    <n v="18"/>
    <n v="1807.02"/>
  </r>
  <r>
    <n v="163"/>
    <x v="130"/>
    <x v="7"/>
    <x v="2"/>
    <x v="5"/>
    <x v="1"/>
    <x v="1"/>
    <n v="5.7"/>
    <n v="10"/>
    <n v="57"/>
  </r>
  <r>
    <n v="164"/>
    <x v="17"/>
    <x v="4"/>
    <x v="3"/>
    <x v="5"/>
    <x v="2"/>
    <x v="2"/>
    <n v="29.74"/>
    <n v="27"/>
    <n v="802.98"/>
  </r>
  <r>
    <n v="165"/>
    <x v="131"/>
    <x v="1"/>
    <x v="7"/>
    <x v="5"/>
    <x v="0"/>
    <x v="0"/>
    <n v="94.34"/>
    <n v="37"/>
    <n v="3490.58"/>
  </r>
  <r>
    <n v="166"/>
    <x v="132"/>
    <x v="4"/>
    <x v="1"/>
    <x v="7"/>
    <x v="3"/>
    <x v="2"/>
    <n v="82.51"/>
    <n v="18"/>
    <n v="1485.18"/>
  </r>
  <r>
    <n v="167"/>
    <x v="133"/>
    <x v="1"/>
    <x v="3"/>
    <x v="2"/>
    <x v="1"/>
    <x v="2"/>
    <n v="29.79"/>
    <n v="33"/>
    <n v="983.07"/>
  </r>
  <r>
    <n v="168"/>
    <x v="134"/>
    <x v="0"/>
    <x v="7"/>
    <x v="0"/>
    <x v="3"/>
    <x v="0"/>
    <n v="83.03"/>
    <n v="32"/>
    <n v="2656.96"/>
  </r>
  <r>
    <n v="169"/>
    <x v="135"/>
    <x v="6"/>
    <x v="5"/>
    <x v="6"/>
    <x v="2"/>
    <x v="2"/>
    <n v="5.88"/>
    <n v="20"/>
    <n v="117.6"/>
  </r>
  <r>
    <n v="170"/>
    <x v="81"/>
    <x v="7"/>
    <x v="5"/>
    <x v="5"/>
    <x v="3"/>
    <x v="0"/>
    <n v="5.89"/>
    <n v="48"/>
    <n v="282.72000000000003"/>
  </r>
  <r>
    <n v="171"/>
    <x v="36"/>
    <x v="5"/>
    <x v="2"/>
    <x v="2"/>
    <x v="1"/>
    <x v="2"/>
    <n v="31.46"/>
    <n v="36"/>
    <n v="1132.56"/>
  </r>
  <r>
    <n v="172"/>
    <x v="136"/>
    <x v="5"/>
    <x v="1"/>
    <x v="2"/>
    <x v="3"/>
    <x v="2"/>
    <n v="57.87"/>
    <n v="5"/>
    <n v="289.35000000000002"/>
  </r>
  <r>
    <n v="173"/>
    <x v="68"/>
    <x v="3"/>
    <x v="6"/>
    <x v="3"/>
    <x v="1"/>
    <x v="2"/>
    <n v="51.58"/>
    <n v="21"/>
    <n v="1083.18"/>
  </r>
  <r>
    <n v="174"/>
    <x v="72"/>
    <x v="7"/>
    <x v="2"/>
    <x v="2"/>
    <x v="2"/>
    <x v="0"/>
    <n v="32.979999999999997"/>
    <n v="38"/>
    <n v="1253.24"/>
  </r>
  <r>
    <n v="175"/>
    <x v="137"/>
    <x v="3"/>
    <x v="2"/>
    <x v="4"/>
    <x v="0"/>
    <x v="2"/>
    <n v="30.48"/>
    <n v="50"/>
    <n v="1524"/>
  </r>
  <r>
    <n v="176"/>
    <x v="130"/>
    <x v="3"/>
    <x v="0"/>
    <x v="4"/>
    <x v="0"/>
    <x v="2"/>
    <n v="88.65"/>
    <n v="42"/>
    <n v="3723.3"/>
  </r>
  <r>
    <n v="177"/>
    <x v="111"/>
    <x v="1"/>
    <x v="5"/>
    <x v="7"/>
    <x v="3"/>
    <x v="0"/>
    <n v="24.95"/>
    <n v="10"/>
    <n v="249.5"/>
  </r>
  <r>
    <n v="178"/>
    <x v="30"/>
    <x v="5"/>
    <x v="3"/>
    <x v="5"/>
    <x v="3"/>
    <x v="1"/>
    <n v="56.62"/>
    <n v="37"/>
    <n v="2094.94"/>
  </r>
  <r>
    <n v="179"/>
    <x v="138"/>
    <x v="0"/>
    <x v="7"/>
    <x v="3"/>
    <x v="1"/>
    <x v="2"/>
    <n v="55.85"/>
    <n v="20"/>
    <n v="1117"/>
  </r>
  <r>
    <n v="180"/>
    <x v="27"/>
    <x v="5"/>
    <x v="4"/>
    <x v="4"/>
    <x v="1"/>
    <x v="0"/>
    <n v="56.97"/>
    <n v="4"/>
    <n v="227.88"/>
  </r>
  <r>
    <n v="181"/>
    <x v="139"/>
    <x v="2"/>
    <x v="6"/>
    <x v="0"/>
    <x v="2"/>
    <x v="0"/>
    <n v="63.31"/>
    <n v="30"/>
    <n v="1899.3"/>
  </r>
  <r>
    <n v="182"/>
    <x v="55"/>
    <x v="4"/>
    <x v="2"/>
    <x v="3"/>
    <x v="1"/>
    <x v="0"/>
    <n v="62.66"/>
    <n v="4"/>
    <n v="250.64"/>
  </r>
  <r>
    <n v="183"/>
    <x v="140"/>
    <x v="4"/>
    <x v="6"/>
    <x v="5"/>
    <x v="2"/>
    <x v="2"/>
    <n v="24.84"/>
    <n v="16"/>
    <n v="397.44"/>
  </r>
  <r>
    <n v="184"/>
    <x v="141"/>
    <x v="5"/>
    <x v="7"/>
    <x v="3"/>
    <x v="1"/>
    <x v="2"/>
    <n v="49.55"/>
    <n v="50"/>
    <n v="2477.5"/>
  </r>
  <r>
    <n v="185"/>
    <x v="142"/>
    <x v="0"/>
    <x v="4"/>
    <x v="5"/>
    <x v="2"/>
    <x v="1"/>
    <n v="69.17"/>
    <n v="25"/>
    <n v="1729.25"/>
  </r>
  <r>
    <n v="186"/>
    <x v="32"/>
    <x v="0"/>
    <x v="1"/>
    <x v="5"/>
    <x v="1"/>
    <x v="2"/>
    <n v="81.319999999999993"/>
    <n v="23"/>
    <n v="1870.36"/>
  </r>
  <r>
    <n v="187"/>
    <x v="43"/>
    <x v="3"/>
    <x v="2"/>
    <x v="2"/>
    <x v="2"/>
    <x v="1"/>
    <n v="48.32"/>
    <n v="22"/>
    <n v="1063.04"/>
  </r>
  <r>
    <n v="188"/>
    <x v="143"/>
    <x v="5"/>
    <x v="6"/>
    <x v="0"/>
    <x v="0"/>
    <x v="1"/>
    <n v="40.520000000000003"/>
    <n v="14"/>
    <n v="567.28"/>
  </r>
  <r>
    <n v="189"/>
    <x v="144"/>
    <x v="2"/>
    <x v="3"/>
    <x v="5"/>
    <x v="3"/>
    <x v="1"/>
    <n v="13.87"/>
    <n v="7"/>
    <n v="97.09"/>
  </r>
  <r>
    <n v="190"/>
    <x v="145"/>
    <x v="3"/>
    <x v="6"/>
    <x v="1"/>
    <x v="3"/>
    <x v="2"/>
    <n v="25.8"/>
    <n v="45"/>
    <n v="1161"/>
  </r>
  <r>
    <n v="191"/>
    <x v="116"/>
    <x v="0"/>
    <x v="6"/>
    <x v="0"/>
    <x v="0"/>
    <x v="2"/>
    <n v="87.75"/>
    <n v="29"/>
    <n v="2544.75"/>
  </r>
  <r>
    <n v="192"/>
    <x v="138"/>
    <x v="5"/>
    <x v="6"/>
    <x v="7"/>
    <x v="2"/>
    <x v="2"/>
    <n v="108.96"/>
    <n v="13"/>
    <n v="1416.48"/>
  </r>
  <r>
    <n v="193"/>
    <x v="146"/>
    <x v="6"/>
    <x v="5"/>
    <x v="6"/>
    <x v="1"/>
    <x v="0"/>
    <n v="65.66"/>
    <n v="11"/>
    <n v="722.26"/>
  </r>
  <r>
    <n v="194"/>
    <x v="147"/>
    <x v="1"/>
    <x v="2"/>
    <x v="6"/>
    <x v="1"/>
    <x v="1"/>
    <n v="105.52"/>
    <n v="36"/>
    <n v="3798.72"/>
  </r>
  <r>
    <n v="195"/>
    <x v="133"/>
    <x v="3"/>
    <x v="1"/>
    <x v="4"/>
    <x v="0"/>
    <x v="2"/>
    <n v="56.67"/>
    <n v="33"/>
    <n v="1870.11"/>
  </r>
  <r>
    <n v="196"/>
    <x v="35"/>
    <x v="2"/>
    <x v="1"/>
    <x v="3"/>
    <x v="0"/>
    <x v="2"/>
    <n v="112"/>
    <n v="27"/>
    <n v="3024"/>
  </r>
  <r>
    <n v="197"/>
    <x v="60"/>
    <x v="5"/>
    <x v="2"/>
    <x v="3"/>
    <x v="0"/>
    <x v="1"/>
    <n v="48.11"/>
    <n v="2"/>
    <n v="96.22"/>
  </r>
  <r>
    <n v="198"/>
    <x v="148"/>
    <x v="3"/>
    <x v="6"/>
    <x v="7"/>
    <x v="1"/>
    <x v="1"/>
    <n v="37.99"/>
    <n v="31"/>
    <n v="1177.69"/>
  </r>
  <r>
    <n v="199"/>
    <x v="136"/>
    <x v="7"/>
    <x v="2"/>
    <x v="6"/>
    <x v="0"/>
    <x v="2"/>
    <n v="34.43"/>
    <n v="10"/>
    <n v="344.3"/>
  </r>
  <r>
    <n v="200"/>
    <x v="127"/>
    <x v="4"/>
    <x v="2"/>
    <x v="4"/>
    <x v="3"/>
    <x v="0"/>
    <n v="10.49"/>
    <n v="27"/>
    <n v="283.23"/>
  </r>
  <r>
    <n v="201"/>
    <x v="117"/>
    <x v="6"/>
    <x v="5"/>
    <x v="6"/>
    <x v="3"/>
    <x v="1"/>
    <n v="6.89"/>
    <n v="33"/>
    <n v="227.37"/>
  </r>
  <r>
    <n v="202"/>
    <x v="149"/>
    <x v="7"/>
    <x v="5"/>
    <x v="4"/>
    <x v="2"/>
    <x v="1"/>
    <n v="45.57"/>
    <n v="37"/>
    <n v="1686.09"/>
  </r>
  <r>
    <n v="203"/>
    <x v="150"/>
    <x v="2"/>
    <x v="1"/>
    <x v="7"/>
    <x v="1"/>
    <x v="0"/>
    <n v="67.569999999999993"/>
    <n v="33"/>
    <n v="2229.81"/>
  </r>
  <r>
    <n v="204"/>
    <x v="151"/>
    <x v="2"/>
    <x v="3"/>
    <x v="4"/>
    <x v="2"/>
    <x v="1"/>
    <n v="117.82"/>
    <n v="17"/>
    <n v="2002.94"/>
  </r>
  <r>
    <n v="205"/>
    <x v="129"/>
    <x v="5"/>
    <x v="5"/>
    <x v="1"/>
    <x v="2"/>
    <x v="0"/>
    <n v="77.25"/>
    <n v="50"/>
    <n v="3862.5"/>
  </r>
  <r>
    <n v="206"/>
    <x v="137"/>
    <x v="4"/>
    <x v="6"/>
    <x v="5"/>
    <x v="0"/>
    <x v="1"/>
    <n v="98.55"/>
    <n v="12"/>
    <n v="1182.5999999999999"/>
  </r>
  <r>
    <n v="207"/>
    <x v="34"/>
    <x v="2"/>
    <x v="0"/>
    <x v="1"/>
    <x v="2"/>
    <x v="2"/>
    <n v="9.25"/>
    <n v="13"/>
    <n v="120.25"/>
  </r>
  <r>
    <n v="208"/>
    <x v="152"/>
    <x v="4"/>
    <x v="4"/>
    <x v="1"/>
    <x v="0"/>
    <x v="2"/>
    <n v="50.8"/>
    <n v="35"/>
    <n v="1778"/>
  </r>
  <r>
    <n v="209"/>
    <x v="153"/>
    <x v="5"/>
    <x v="4"/>
    <x v="4"/>
    <x v="2"/>
    <x v="2"/>
    <n v="104.15"/>
    <n v="4"/>
    <n v="416.6"/>
  </r>
  <r>
    <n v="210"/>
    <x v="13"/>
    <x v="5"/>
    <x v="5"/>
    <x v="7"/>
    <x v="3"/>
    <x v="2"/>
    <n v="90.48"/>
    <n v="25"/>
    <n v="2262"/>
  </r>
  <r>
    <n v="211"/>
    <x v="154"/>
    <x v="7"/>
    <x v="2"/>
    <x v="2"/>
    <x v="0"/>
    <x v="0"/>
    <n v="35.67"/>
    <n v="6"/>
    <n v="214.02"/>
  </r>
  <r>
    <n v="212"/>
    <x v="6"/>
    <x v="5"/>
    <x v="4"/>
    <x v="6"/>
    <x v="3"/>
    <x v="0"/>
    <n v="41.94"/>
    <n v="6"/>
    <n v="251.64"/>
  </r>
  <r>
    <n v="213"/>
    <x v="155"/>
    <x v="5"/>
    <x v="6"/>
    <x v="1"/>
    <x v="2"/>
    <x v="0"/>
    <n v="24.16"/>
    <n v="29"/>
    <n v="700.64"/>
  </r>
  <r>
    <n v="214"/>
    <x v="48"/>
    <x v="1"/>
    <x v="1"/>
    <x v="3"/>
    <x v="0"/>
    <x v="1"/>
    <n v="36.57"/>
    <n v="4"/>
    <n v="146.28"/>
  </r>
  <r>
    <n v="215"/>
    <x v="104"/>
    <x v="4"/>
    <x v="7"/>
    <x v="5"/>
    <x v="1"/>
    <x v="1"/>
    <n v="102.6"/>
    <n v="44"/>
    <n v="4514.3999999999996"/>
  </r>
  <r>
    <n v="216"/>
    <x v="140"/>
    <x v="2"/>
    <x v="5"/>
    <x v="7"/>
    <x v="2"/>
    <x v="2"/>
    <n v="47.13"/>
    <n v="25"/>
    <n v="1178.25"/>
  </r>
  <r>
    <n v="217"/>
    <x v="156"/>
    <x v="3"/>
    <x v="3"/>
    <x v="2"/>
    <x v="2"/>
    <x v="0"/>
    <n v="92.75"/>
    <n v="37"/>
    <n v="3431.75"/>
  </r>
  <r>
    <n v="218"/>
    <x v="47"/>
    <x v="2"/>
    <x v="5"/>
    <x v="7"/>
    <x v="3"/>
    <x v="0"/>
    <n v="33.71"/>
    <n v="8"/>
    <n v="269.68"/>
  </r>
  <r>
    <n v="219"/>
    <x v="157"/>
    <x v="4"/>
    <x v="0"/>
    <x v="6"/>
    <x v="3"/>
    <x v="1"/>
    <n v="35.1"/>
    <n v="17"/>
    <n v="596.70000000000005"/>
  </r>
  <r>
    <n v="220"/>
    <x v="127"/>
    <x v="4"/>
    <x v="5"/>
    <x v="7"/>
    <x v="1"/>
    <x v="0"/>
    <n v="20.61"/>
    <n v="5"/>
    <n v="103.05"/>
  </r>
  <r>
    <n v="221"/>
    <x v="158"/>
    <x v="1"/>
    <x v="4"/>
    <x v="6"/>
    <x v="0"/>
    <x v="0"/>
    <n v="81.8"/>
    <n v="46"/>
    <n v="3762.8"/>
  </r>
  <r>
    <n v="222"/>
    <x v="159"/>
    <x v="3"/>
    <x v="3"/>
    <x v="0"/>
    <x v="1"/>
    <x v="1"/>
    <n v="111.64"/>
    <n v="41"/>
    <n v="4577.24"/>
  </r>
  <r>
    <n v="223"/>
    <x v="160"/>
    <x v="2"/>
    <x v="3"/>
    <x v="3"/>
    <x v="3"/>
    <x v="0"/>
    <n v="32.22"/>
    <n v="32"/>
    <n v="1031.04"/>
  </r>
  <r>
    <n v="224"/>
    <x v="161"/>
    <x v="1"/>
    <x v="4"/>
    <x v="2"/>
    <x v="3"/>
    <x v="0"/>
    <n v="75.37"/>
    <n v="6"/>
    <n v="452.22"/>
  </r>
  <r>
    <n v="225"/>
    <x v="162"/>
    <x v="1"/>
    <x v="5"/>
    <x v="3"/>
    <x v="1"/>
    <x v="2"/>
    <n v="93.45"/>
    <n v="37"/>
    <n v="3457.65"/>
  </r>
  <r>
    <n v="226"/>
    <x v="163"/>
    <x v="3"/>
    <x v="5"/>
    <x v="5"/>
    <x v="3"/>
    <x v="0"/>
    <n v="83.21"/>
    <n v="23"/>
    <n v="1913.83"/>
  </r>
  <r>
    <n v="227"/>
    <x v="135"/>
    <x v="3"/>
    <x v="4"/>
    <x v="5"/>
    <x v="0"/>
    <x v="2"/>
    <n v="100.61"/>
    <n v="34"/>
    <n v="3420.74"/>
  </r>
  <r>
    <n v="228"/>
    <x v="159"/>
    <x v="0"/>
    <x v="2"/>
    <x v="6"/>
    <x v="0"/>
    <x v="0"/>
    <n v="30.93"/>
    <n v="34"/>
    <n v="1051.6199999999999"/>
  </r>
  <r>
    <n v="229"/>
    <x v="98"/>
    <x v="0"/>
    <x v="2"/>
    <x v="5"/>
    <x v="0"/>
    <x v="1"/>
    <n v="36.56"/>
    <n v="41"/>
    <n v="1498.96"/>
  </r>
  <r>
    <n v="230"/>
    <x v="164"/>
    <x v="5"/>
    <x v="7"/>
    <x v="1"/>
    <x v="1"/>
    <x v="1"/>
    <n v="76.819999999999993"/>
    <n v="39"/>
    <n v="2995.98"/>
  </r>
  <r>
    <n v="231"/>
    <x v="165"/>
    <x v="6"/>
    <x v="1"/>
    <x v="1"/>
    <x v="3"/>
    <x v="0"/>
    <n v="93.67"/>
    <n v="17"/>
    <n v="1592.39"/>
  </r>
  <r>
    <n v="232"/>
    <x v="166"/>
    <x v="4"/>
    <x v="0"/>
    <x v="2"/>
    <x v="2"/>
    <x v="2"/>
    <n v="38.31"/>
    <n v="20"/>
    <n v="766.2"/>
  </r>
  <r>
    <n v="233"/>
    <x v="167"/>
    <x v="4"/>
    <x v="1"/>
    <x v="7"/>
    <x v="3"/>
    <x v="1"/>
    <n v="84.19"/>
    <n v="11"/>
    <n v="926.09"/>
  </r>
  <r>
    <n v="234"/>
    <x v="168"/>
    <x v="5"/>
    <x v="3"/>
    <x v="2"/>
    <x v="0"/>
    <x v="2"/>
    <n v="74.77"/>
    <n v="21"/>
    <n v="1570.17"/>
  </r>
  <r>
    <n v="235"/>
    <x v="152"/>
    <x v="6"/>
    <x v="6"/>
    <x v="4"/>
    <x v="2"/>
    <x v="2"/>
    <n v="69.59"/>
    <n v="21"/>
    <n v="1461.39"/>
  </r>
  <r>
    <n v="236"/>
    <x v="21"/>
    <x v="0"/>
    <x v="1"/>
    <x v="2"/>
    <x v="0"/>
    <x v="1"/>
    <n v="21.2"/>
    <n v="4"/>
    <n v="84.8"/>
  </r>
  <r>
    <n v="237"/>
    <x v="169"/>
    <x v="5"/>
    <x v="0"/>
    <x v="5"/>
    <x v="3"/>
    <x v="0"/>
    <n v="112.38"/>
    <n v="47"/>
    <n v="5281.86"/>
  </r>
  <r>
    <n v="238"/>
    <x v="15"/>
    <x v="4"/>
    <x v="7"/>
    <x v="4"/>
    <x v="3"/>
    <x v="0"/>
    <n v="62.36"/>
    <n v="20"/>
    <n v="1247.2"/>
  </r>
  <r>
    <n v="239"/>
    <x v="34"/>
    <x v="5"/>
    <x v="7"/>
    <x v="1"/>
    <x v="2"/>
    <x v="2"/>
    <n v="116.17"/>
    <n v="14"/>
    <n v="1626.38"/>
  </r>
  <r>
    <n v="240"/>
    <x v="170"/>
    <x v="4"/>
    <x v="4"/>
    <x v="1"/>
    <x v="1"/>
    <x v="2"/>
    <n v="106.47"/>
    <n v="42"/>
    <n v="4471.74"/>
  </r>
  <r>
    <n v="241"/>
    <x v="58"/>
    <x v="5"/>
    <x v="1"/>
    <x v="3"/>
    <x v="1"/>
    <x v="2"/>
    <n v="106.48"/>
    <n v="47"/>
    <n v="5004.5600000000004"/>
  </r>
  <r>
    <n v="242"/>
    <x v="171"/>
    <x v="5"/>
    <x v="4"/>
    <x v="4"/>
    <x v="3"/>
    <x v="0"/>
    <n v="70.58"/>
    <n v="13"/>
    <n v="917.54"/>
  </r>
  <r>
    <n v="243"/>
    <x v="172"/>
    <x v="1"/>
    <x v="5"/>
    <x v="4"/>
    <x v="3"/>
    <x v="2"/>
    <n v="92.91"/>
    <n v="18"/>
    <n v="1672.38"/>
  </r>
  <r>
    <n v="244"/>
    <x v="137"/>
    <x v="3"/>
    <x v="0"/>
    <x v="2"/>
    <x v="1"/>
    <x v="1"/>
    <n v="69.150000000000006"/>
    <n v="24"/>
    <n v="1659.6"/>
  </r>
  <r>
    <n v="245"/>
    <x v="148"/>
    <x v="4"/>
    <x v="6"/>
    <x v="5"/>
    <x v="0"/>
    <x v="2"/>
    <n v="20.76"/>
    <n v="22"/>
    <n v="456.72"/>
  </r>
  <r>
    <n v="246"/>
    <x v="173"/>
    <x v="0"/>
    <x v="3"/>
    <x v="7"/>
    <x v="2"/>
    <x v="2"/>
    <n v="41.63"/>
    <n v="26"/>
    <n v="1082.3800000000001"/>
  </r>
  <r>
    <n v="247"/>
    <x v="174"/>
    <x v="1"/>
    <x v="1"/>
    <x v="6"/>
    <x v="1"/>
    <x v="0"/>
    <n v="47.36"/>
    <n v="44"/>
    <n v="2083.84"/>
  </r>
  <r>
    <n v="248"/>
    <x v="175"/>
    <x v="6"/>
    <x v="7"/>
    <x v="7"/>
    <x v="0"/>
    <x v="0"/>
    <n v="35.54"/>
    <n v="42"/>
    <n v="1492.68"/>
  </r>
  <r>
    <n v="249"/>
    <x v="176"/>
    <x v="7"/>
    <x v="5"/>
    <x v="0"/>
    <x v="1"/>
    <x v="0"/>
    <n v="87.94"/>
    <n v="50"/>
    <n v="4397"/>
  </r>
  <r>
    <n v="250"/>
    <x v="177"/>
    <x v="4"/>
    <x v="3"/>
    <x v="2"/>
    <x v="0"/>
    <x v="2"/>
    <n v="17.64"/>
    <n v="2"/>
    <n v="35.28"/>
  </r>
  <r>
    <n v="251"/>
    <x v="20"/>
    <x v="4"/>
    <x v="7"/>
    <x v="5"/>
    <x v="0"/>
    <x v="0"/>
    <n v="28.45"/>
    <n v="33"/>
    <n v="938.85"/>
  </r>
  <r>
    <n v="252"/>
    <x v="131"/>
    <x v="7"/>
    <x v="3"/>
    <x v="5"/>
    <x v="3"/>
    <x v="0"/>
    <n v="119.78"/>
    <n v="31"/>
    <n v="3713.18"/>
  </r>
  <r>
    <n v="253"/>
    <x v="38"/>
    <x v="0"/>
    <x v="6"/>
    <x v="0"/>
    <x v="0"/>
    <x v="2"/>
    <n v="67.819999999999993"/>
    <n v="44"/>
    <n v="2984.08"/>
  </r>
  <r>
    <n v="254"/>
    <x v="178"/>
    <x v="0"/>
    <x v="0"/>
    <x v="7"/>
    <x v="2"/>
    <x v="2"/>
    <n v="39.33"/>
    <n v="20"/>
    <n v="786.6"/>
  </r>
  <r>
    <n v="255"/>
    <x v="35"/>
    <x v="0"/>
    <x v="4"/>
    <x v="4"/>
    <x v="3"/>
    <x v="2"/>
    <n v="69.459999999999994"/>
    <n v="47"/>
    <n v="3264.62"/>
  </r>
  <r>
    <n v="256"/>
    <x v="5"/>
    <x v="0"/>
    <x v="7"/>
    <x v="6"/>
    <x v="1"/>
    <x v="2"/>
    <n v="114.78"/>
    <n v="10"/>
    <n v="1147.8"/>
  </r>
  <r>
    <n v="257"/>
    <x v="110"/>
    <x v="4"/>
    <x v="0"/>
    <x v="0"/>
    <x v="2"/>
    <x v="0"/>
    <n v="80.44"/>
    <n v="48"/>
    <n v="3861.12"/>
  </r>
  <r>
    <n v="258"/>
    <x v="56"/>
    <x v="6"/>
    <x v="0"/>
    <x v="1"/>
    <x v="0"/>
    <x v="0"/>
    <n v="36.24"/>
    <n v="7"/>
    <n v="253.68"/>
  </r>
  <r>
    <n v="259"/>
    <x v="118"/>
    <x v="5"/>
    <x v="6"/>
    <x v="4"/>
    <x v="0"/>
    <x v="1"/>
    <n v="11.04"/>
    <n v="27"/>
    <n v="298.08"/>
  </r>
  <r>
    <n v="260"/>
    <x v="80"/>
    <x v="7"/>
    <x v="6"/>
    <x v="7"/>
    <x v="0"/>
    <x v="2"/>
    <n v="117.46"/>
    <n v="11"/>
    <n v="1292.06"/>
  </r>
  <r>
    <n v="261"/>
    <x v="94"/>
    <x v="1"/>
    <x v="0"/>
    <x v="1"/>
    <x v="0"/>
    <x v="2"/>
    <n v="37.82"/>
    <n v="4"/>
    <n v="151.28"/>
  </r>
  <r>
    <n v="262"/>
    <x v="179"/>
    <x v="7"/>
    <x v="6"/>
    <x v="5"/>
    <x v="2"/>
    <x v="1"/>
    <n v="112.4"/>
    <n v="3"/>
    <n v="337.2"/>
  </r>
  <r>
    <n v="263"/>
    <x v="180"/>
    <x v="1"/>
    <x v="3"/>
    <x v="6"/>
    <x v="3"/>
    <x v="0"/>
    <n v="39.32"/>
    <n v="39"/>
    <n v="1533.48"/>
  </r>
  <r>
    <n v="264"/>
    <x v="181"/>
    <x v="4"/>
    <x v="4"/>
    <x v="0"/>
    <x v="1"/>
    <x v="2"/>
    <n v="65.3"/>
    <n v="9"/>
    <n v="587.70000000000005"/>
  </r>
  <r>
    <n v="265"/>
    <x v="145"/>
    <x v="0"/>
    <x v="5"/>
    <x v="1"/>
    <x v="2"/>
    <x v="2"/>
    <n v="89.08"/>
    <n v="42"/>
    <n v="3741.36"/>
  </r>
  <r>
    <n v="266"/>
    <x v="182"/>
    <x v="3"/>
    <x v="1"/>
    <x v="2"/>
    <x v="2"/>
    <x v="1"/>
    <n v="82.56"/>
    <n v="13"/>
    <n v="1073.28"/>
  </r>
  <r>
    <n v="267"/>
    <x v="86"/>
    <x v="3"/>
    <x v="6"/>
    <x v="3"/>
    <x v="0"/>
    <x v="1"/>
    <n v="81.96"/>
    <n v="12"/>
    <n v="983.52"/>
  </r>
  <r>
    <n v="268"/>
    <x v="183"/>
    <x v="0"/>
    <x v="3"/>
    <x v="6"/>
    <x v="1"/>
    <x v="2"/>
    <n v="49.11"/>
    <n v="29"/>
    <n v="1424.19"/>
  </r>
  <r>
    <n v="269"/>
    <x v="184"/>
    <x v="2"/>
    <x v="2"/>
    <x v="7"/>
    <x v="2"/>
    <x v="1"/>
    <n v="46.35"/>
    <n v="16"/>
    <n v="741.6"/>
  </r>
  <r>
    <n v="270"/>
    <x v="185"/>
    <x v="0"/>
    <x v="2"/>
    <x v="6"/>
    <x v="2"/>
    <x v="0"/>
    <n v="83.9"/>
    <n v="46"/>
    <n v="3859.4"/>
  </r>
  <r>
    <n v="271"/>
    <x v="122"/>
    <x v="4"/>
    <x v="5"/>
    <x v="7"/>
    <x v="2"/>
    <x v="2"/>
    <n v="30.2"/>
    <n v="9"/>
    <n v="271.8"/>
  </r>
  <r>
    <n v="272"/>
    <x v="186"/>
    <x v="6"/>
    <x v="0"/>
    <x v="4"/>
    <x v="3"/>
    <x v="0"/>
    <n v="68.16"/>
    <n v="31"/>
    <n v="2112.96"/>
  </r>
  <r>
    <n v="273"/>
    <x v="36"/>
    <x v="1"/>
    <x v="7"/>
    <x v="0"/>
    <x v="0"/>
    <x v="1"/>
    <n v="46.61"/>
    <n v="37"/>
    <n v="1724.57"/>
  </r>
  <r>
    <n v="274"/>
    <x v="169"/>
    <x v="1"/>
    <x v="0"/>
    <x v="7"/>
    <x v="1"/>
    <x v="0"/>
    <n v="103.27"/>
    <n v="29"/>
    <n v="2994.83"/>
  </r>
  <r>
    <n v="275"/>
    <x v="187"/>
    <x v="3"/>
    <x v="1"/>
    <x v="7"/>
    <x v="1"/>
    <x v="0"/>
    <n v="98"/>
    <n v="30"/>
    <n v="2940"/>
  </r>
  <r>
    <n v="276"/>
    <x v="27"/>
    <x v="2"/>
    <x v="1"/>
    <x v="6"/>
    <x v="1"/>
    <x v="0"/>
    <n v="82.37"/>
    <n v="20"/>
    <n v="1647.4"/>
  </r>
  <r>
    <n v="277"/>
    <x v="2"/>
    <x v="7"/>
    <x v="3"/>
    <x v="4"/>
    <x v="1"/>
    <x v="1"/>
    <n v="71.510000000000005"/>
    <n v="3"/>
    <n v="214.53"/>
  </r>
  <r>
    <n v="278"/>
    <x v="188"/>
    <x v="3"/>
    <x v="5"/>
    <x v="2"/>
    <x v="2"/>
    <x v="2"/>
    <n v="8.65"/>
    <n v="27"/>
    <n v="233.55"/>
  </r>
  <r>
    <n v="279"/>
    <x v="189"/>
    <x v="7"/>
    <x v="2"/>
    <x v="5"/>
    <x v="2"/>
    <x v="1"/>
    <n v="105.01"/>
    <n v="25"/>
    <n v="2625.25"/>
  </r>
  <r>
    <n v="280"/>
    <x v="190"/>
    <x v="3"/>
    <x v="0"/>
    <x v="1"/>
    <x v="1"/>
    <x v="2"/>
    <n v="119.18"/>
    <n v="26"/>
    <n v="3098.68"/>
  </r>
  <r>
    <n v="281"/>
    <x v="191"/>
    <x v="7"/>
    <x v="1"/>
    <x v="0"/>
    <x v="0"/>
    <x v="2"/>
    <n v="82.45"/>
    <n v="35"/>
    <n v="2885.75"/>
  </r>
  <r>
    <n v="282"/>
    <x v="192"/>
    <x v="1"/>
    <x v="7"/>
    <x v="2"/>
    <x v="1"/>
    <x v="1"/>
    <n v="22.84"/>
    <n v="13"/>
    <n v="296.92"/>
  </r>
  <r>
    <n v="283"/>
    <x v="193"/>
    <x v="2"/>
    <x v="6"/>
    <x v="1"/>
    <x v="0"/>
    <x v="0"/>
    <n v="12.74"/>
    <n v="39"/>
    <n v="496.86"/>
  </r>
  <r>
    <n v="284"/>
    <x v="49"/>
    <x v="6"/>
    <x v="7"/>
    <x v="5"/>
    <x v="2"/>
    <x v="1"/>
    <n v="51.26"/>
    <n v="15"/>
    <n v="768.9"/>
  </r>
  <r>
    <n v="285"/>
    <x v="194"/>
    <x v="5"/>
    <x v="0"/>
    <x v="6"/>
    <x v="0"/>
    <x v="0"/>
    <n v="41.67"/>
    <n v="39"/>
    <n v="1625.13"/>
  </r>
  <r>
    <n v="286"/>
    <x v="195"/>
    <x v="0"/>
    <x v="7"/>
    <x v="5"/>
    <x v="3"/>
    <x v="0"/>
    <n v="30.42"/>
    <n v="20"/>
    <n v="608.4"/>
  </r>
  <r>
    <n v="287"/>
    <x v="196"/>
    <x v="7"/>
    <x v="3"/>
    <x v="2"/>
    <x v="3"/>
    <x v="1"/>
    <n v="10.39"/>
    <n v="23"/>
    <n v="238.97"/>
  </r>
  <r>
    <n v="288"/>
    <x v="197"/>
    <x v="4"/>
    <x v="0"/>
    <x v="0"/>
    <x v="2"/>
    <x v="0"/>
    <n v="48.29"/>
    <n v="49"/>
    <n v="2366.21"/>
  </r>
  <r>
    <n v="289"/>
    <x v="104"/>
    <x v="7"/>
    <x v="1"/>
    <x v="5"/>
    <x v="3"/>
    <x v="1"/>
    <n v="97.66"/>
    <n v="4"/>
    <n v="390.64"/>
  </r>
  <r>
    <n v="290"/>
    <x v="109"/>
    <x v="1"/>
    <x v="6"/>
    <x v="3"/>
    <x v="1"/>
    <x v="0"/>
    <n v="28.38"/>
    <n v="42"/>
    <n v="1191.96"/>
  </r>
  <r>
    <n v="291"/>
    <x v="77"/>
    <x v="2"/>
    <x v="2"/>
    <x v="0"/>
    <x v="0"/>
    <x v="2"/>
    <n v="10.93"/>
    <n v="25"/>
    <n v="273.25"/>
  </r>
  <r>
    <n v="292"/>
    <x v="198"/>
    <x v="0"/>
    <x v="7"/>
    <x v="0"/>
    <x v="0"/>
    <x v="0"/>
    <n v="104.99"/>
    <n v="22"/>
    <n v="2309.7800000000002"/>
  </r>
  <r>
    <n v="293"/>
    <x v="157"/>
    <x v="4"/>
    <x v="0"/>
    <x v="0"/>
    <x v="3"/>
    <x v="1"/>
    <n v="90.89"/>
    <n v="49"/>
    <n v="4453.6099999999997"/>
  </r>
  <r>
    <n v="294"/>
    <x v="98"/>
    <x v="7"/>
    <x v="6"/>
    <x v="3"/>
    <x v="2"/>
    <x v="2"/>
    <n v="41.99"/>
    <n v="19"/>
    <n v="797.81"/>
  </r>
  <r>
    <n v="295"/>
    <x v="83"/>
    <x v="4"/>
    <x v="2"/>
    <x v="7"/>
    <x v="2"/>
    <x v="1"/>
    <n v="63.97"/>
    <n v="32"/>
    <n v="2047.04"/>
  </r>
  <r>
    <n v="296"/>
    <x v="199"/>
    <x v="6"/>
    <x v="5"/>
    <x v="1"/>
    <x v="2"/>
    <x v="0"/>
    <n v="40.99"/>
    <n v="3"/>
    <n v="122.97"/>
  </r>
  <r>
    <n v="297"/>
    <x v="61"/>
    <x v="0"/>
    <x v="5"/>
    <x v="0"/>
    <x v="2"/>
    <x v="1"/>
    <n v="71.599999999999994"/>
    <n v="27"/>
    <n v="1933.2"/>
  </r>
  <r>
    <n v="298"/>
    <x v="28"/>
    <x v="4"/>
    <x v="3"/>
    <x v="6"/>
    <x v="3"/>
    <x v="0"/>
    <n v="70.53"/>
    <n v="16"/>
    <n v="1128.48"/>
  </r>
  <r>
    <n v="299"/>
    <x v="165"/>
    <x v="3"/>
    <x v="3"/>
    <x v="5"/>
    <x v="0"/>
    <x v="0"/>
    <n v="90.05"/>
    <n v="30"/>
    <n v="2701.5"/>
  </r>
  <r>
    <n v="300"/>
    <x v="166"/>
    <x v="2"/>
    <x v="7"/>
    <x v="4"/>
    <x v="1"/>
    <x v="1"/>
    <n v="61.16"/>
    <n v="35"/>
    <n v="2140.6"/>
  </r>
  <r>
    <n v="301"/>
    <x v="124"/>
    <x v="6"/>
    <x v="2"/>
    <x v="5"/>
    <x v="1"/>
    <x v="1"/>
    <n v="20.81"/>
    <n v="41"/>
    <n v="853.21"/>
  </r>
  <r>
    <n v="302"/>
    <x v="123"/>
    <x v="4"/>
    <x v="6"/>
    <x v="1"/>
    <x v="1"/>
    <x v="0"/>
    <n v="57.44"/>
    <n v="4"/>
    <n v="229.76"/>
  </r>
  <r>
    <n v="303"/>
    <x v="98"/>
    <x v="0"/>
    <x v="4"/>
    <x v="1"/>
    <x v="3"/>
    <x v="1"/>
    <n v="52.3"/>
    <n v="2"/>
    <n v="104.6"/>
  </r>
  <r>
    <n v="304"/>
    <x v="72"/>
    <x v="3"/>
    <x v="0"/>
    <x v="0"/>
    <x v="2"/>
    <x v="2"/>
    <n v="110.58"/>
    <n v="34"/>
    <n v="3759.72"/>
  </r>
  <r>
    <n v="305"/>
    <x v="200"/>
    <x v="5"/>
    <x v="1"/>
    <x v="7"/>
    <x v="0"/>
    <x v="0"/>
    <n v="96.42"/>
    <n v="6"/>
    <n v="578.52"/>
  </r>
  <r>
    <n v="306"/>
    <x v="97"/>
    <x v="2"/>
    <x v="2"/>
    <x v="2"/>
    <x v="3"/>
    <x v="2"/>
    <n v="39.5"/>
    <n v="6"/>
    <n v="237"/>
  </r>
  <r>
    <n v="307"/>
    <x v="98"/>
    <x v="2"/>
    <x v="5"/>
    <x v="4"/>
    <x v="3"/>
    <x v="2"/>
    <n v="59.74"/>
    <n v="41"/>
    <n v="2449.34"/>
  </r>
  <r>
    <n v="308"/>
    <x v="140"/>
    <x v="1"/>
    <x v="7"/>
    <x v="0"/>
    <x v="0"/>
    <x v="0"/>
    <n v="95.2"/>
    <n v="37"/>
    <n v="3522.4"/>
  </r>
  <r>
    <n v="309"/>
    <x v="182"/>
    <x v="1"/>
    <x v="4"/>
    <x v="1"/>
    <x v="0"/>
    <x v="2"/>
    <n v="59.68"/>
    <n v="3"/>
    <n v="179.04"/>
  </r>
  <r>
    <n v="310"/>
    <x v="174"/>
    <x v="3"/>
    <x v="1"/>
    <x v="4"/>
    <x v="2"/>
    <x v="1"/>
    <n v="115.57"/>
    <n v="38"/>
    <n v="4391.66"/>
  </r>
  <r>
    <n v="311"/>
    <x v="201"/>
    <x v="5"/>
    <x v="1"/>
    <x v="5"/>
    <x v="1"/>
    <x v="0"/>
    <n v="32.65"/>
    <n v="25"/>
    <n v="816.25"/>
  </r>
  <r>
    <n v="312"/>
    <x v="192"/>
    <x v="6"/>
    <x v="2"/>
    <x v="3"/>
    <x v="3"/>
    <x v="2"/>
    <n v="11.18"/>
    <n v="28"/>
    <n v="313.04000000000002"/>
  </r>
  <r>
    <n v="313"/>
    <x v="202"/>
    <x v="4"/>
    <x v="0"/>
    <x v="3"/>
    <x v="3"/>
    <x v="2"/>
    <n v="77.92"/>
    <n v="29"/>
    <n v="2259.6799999999998"/>
  </r>
  <r>
    <n v="314"/>
    <x v="203"/>
    <x v="7"/>
    <x v="2"/>
    <x v="6"/>
    <x v="0"/>
    <x v="0"/>
    <n v="83.16"/>
    <n v="43"/>
    <n v="3575.88"/>
  </r>
  <r>
    <n v="315"/>
    <x v="167"/>
    <x v="7"/>
    <x v="5"/>
    <x v="2"/>
    <x v="2"/>
    <x v="2"/>
    <n v="14.43"/>
    <n v="10"/>
    <n v="144.30000000000001"/>
  </r>
  <r>
    <n v="316"/>
    <x v="72"/>
    <x v="4"/>
    <x v="3"/>
    <x v="6"/>
    <x v="1"/>
    <x v="1"/>
    <n v="15.52"/>
    <n v="20"/>
    <n v="310.39999999999998"/>
  </r>
  <r>
    <n v="317"/>
    <x v="204"/>
    <x v="7"/>
    <x v="2"/>
    <x v="1"/>
    <x v="1"/>
    <x v="2"/>
    <n v="26.55"/>
    <n v="29"/>
    <n v="769.95"/>
  </r>
  <r>
    <n v="318"/>
    <x v="205"/>
    <x v="5"/>
    <x v="1"/>
    <x v="1"/>
    <x v="2"/>
    <x v="2"/>
    <n v="15.7"/>
    <n v="39"/>
    <n v="612.29999999999995"/>
  </r>
  <r>
    <n v="319"/>
    <x v="151"/>
    <x v="6"/>
    <x v="5"/>
    <x v="2"/>
    <x v="0"/>
    <x v="1"/>
    <n v="94.6"/>
    <n v="47"/>
    <n v="4446.2"/>
  </r>
  <r>
    <n v="320"/>
    <x v="206"/>
    <x v="3"/>
    <x v="2"/>
    <x v="5"/>
    <x v="3"/>
    <x v="2"/>
    <n v="39.630000000000003"/>
    <n v="32"/>
    <n v="1268.1600000000001"/>
  </r>
  <r>
    <n v="321"/>
    <x v="207"/>
    <x v="5"/>
    <x v="4"/>
    <x v="0"/>
    <x v="3"/>
    <x v="0"/>
    <n v="39.47"/>
    <n v="5"/>
    <n v="197.35"/>
  </r>
  <r>
    <n v="322"/>
    <x v="208"/>
    <x v="3"/>
    <x v="4"/>
    <x v="1"/>
    <x v="3"/>
    <x v="2"/>
    <n v="27.49"/>
    <n v="7"/>
    <n v="192.43"/>
  </r>
  <r>
    <n v="323"/>
    <x v="209"/>
    <x v="4"/>
    <x v="3"/>
    <x v="2"/>
    <x v="0"/>
    <x v="2"/>
    <n v="48.69"/>
    <n v="22"/>
    <n v="1071.18"/>
  </r>
  <r>
    <n v="324"/>
    <x v="94"/>
    <x v="6"/>
    <x v="6"/>
    <x v="3"/>
    <x v="0"/>
    <x v="2"/>
    <n v="74.37"/>
    <n v="45"/>
    <n v="3346.65"/>
  </r>
  <r>
    <n v="325"/>
    <x v="158"/>
    <x v="4"/>
    <x v="0"/>
    <x v="3"/>
    <x v="3"/>
    <x v="2"/>
    <n v="38.520000000000003"/>
    <n v="45"/>
    <n v="1733.4"/>
  </r>
  <r>
    <n v="326"/>
    <x v="210"/>
    <x v="6"/>
    <x v="5"/>
    <x v="1"/>
    <x v="3"/>
    <x v="0"/>
    <n v="46.98"/>
    <n v="37"/>
    <n v="1738.26"/>
  </r>
  <r>
    <n v="327"/>
    <x v="211"/>
    <x v="1"/>
    <x v="1"/>
    <x v="7"/>
    <x v="0"/>
    <x v="0"/>
    <n v="55.42"/>
    <n v="19"/>
    <n v="1052.98"/>
  </r>
  <r>
    <n v="328"/>
    <x v="90"/>
    <x v="3"/>
    <x v="1"/>
    <x v="2"/>
    <x v="1"/>
    <x v="2"/>
    <n v="32.83"/>
    <n v="43"/>
    <n v="1411.69"/>
  </r>
  <r>
    <n v="329"/>
    <x v="212"/>
    <x v="7"/>
    <x v="7"/>
    <x v="3"/>
    <x v="1"/>
    <x v="1"/>
    <n v="60.11"/>
    <n v="26"/>
    <n v="1562.86"/>
  </r>
  <r>
    <n v="330"/>
    <x v="26"/>
    <x v="3"/>
    <x v="7"/>
    <x v="2"/>
    <x v="2"/>
    <x v="2"/>
    <n v="80.62"/>
    <n v="23"/>
    <n v="1854.26"/>
  </r>
  <r>
    <n v="331"/>
    <x v="72"/>
    <x v="6"/>
    <x v="0"/>
    <x v="7"/>
    <x v="2"/>
    <x v="2"/>
    <n v="6.21"/>
    <n v="17"/>
    <n v="105.57"/>
  </r>
  <r>
    <n v="332"/>
    <x v="191"/>
    <x v="3"/>
    <x v="3"/>
    <x v="1"/>
    <x v="3"/>
    <x v="1"/>
    <n v="93.82"/>
    <n v="38"/>
    <n v="3565.16"/>
  </r>
  <r>
    <n v="333"/>
    <x v="112"/>
    <x v="1"/>
    <x v="5"/>
    <x v="3"/>
    <x v="2"/>
    <x v="2"/>
    <n v="52.84"/>
    <n v="6"/>
    <n v="317.04000000000002"/>
  </r>
  <r>
    <n v="334"/>
    <x v="213"/>
    <x v="4"/>
    <x v="3"/>
    <x v="7"/>
    <x v="1"/>
    <x v="2"/>
    <n v="95.19"/>
    <n v="34"/>
    <n v="3236.46"/>
  </r>
  <r>
    <n v="335"/>
    <x v="56"/>
    <x v="0"/>
    <x v="7"/>
    <x v="4"/>
    <x v="1"/>
    <x v="2"/>
    <n v="57.03"/>
    <n v="5"/>
    <n v="285.14999999999998"/>
  </r>
  <r>
    <n v="336"/>
    <x v="214"/>
    <x v="6"/>
    <x v="5"/>
    <x v="5"/>
    <x v="2"/>
    <x v="0"/>
    <n v="17.579999999999998"/>
    <n v="11"/>
    <n v="193.38"/>
  </r>
  <r>
    <n v="337"/>
    <x v="155"/>
    <x v="7"/>
    <x v="5"/>
    <x v="5"/>
    <x v="3"/>
    <x v="2"/>
    <n v="115.22"/>
    <n v="15"/>
    <n v="1728.3"/>
  </r>
  <r>
    <n v="338"/>
    <x v="215"/>
    <x v="4"/>
    <x v="1"/>
    <x v="2"/>
    <x v="1"/>
    <x v="0"/>
    <n v="89.8"/>
    <n v="13"/>
    <n v="1167.4000000000001"/>
  </r>
  <r>
    <n v="339"/>
    <x v="54"/>
    <x v="1"/>
    <x v="2"/>
    <x v="5"/>
    <x v="2"/>
    <x v="2"/>
    <n v="28.67"/>
    <n v="49"/>
    <n v="1404.83"/>
  </r>
  <r>
    <n v="340"/>
    <x v="216"/>
    <x v="4"/>
    <x v="3"/>
    <x v="2"/>
    <x v="3"/>
    <x v="0"/>
    <n v="57.62"/>
    <n v="17"/>
    <n v="979.54"/>
  </r>
  <r>
    <n v="341"/>
    <x v="68"/>
    <x v="3"/>
    <x v="4"/>
    <x v="4"/>
    <x v="0"/>
    <x v="2"/>
    <n v="45.01"/>
    <n v="30"/>
    <n v="1350.3"/>
  </r>
  <r>
    <n v="342"/>
    <x v="157"/>
    <x v="3"/>
    <x v="3"/>
    <x v="5"/>
    <x v="3"/>
    <x v="2"/>
    <n v="32.44"/>
    <n v="8"/>
    <n v="259.52"/>
  </r>
  <r>
    <n v="343"/>
    <x v="170"/>
    <x v="7"/>
    <x v="5"/>
    <x v="7"/>
    <x v="0"/>
    <x v="0"/>
    <n v="20.85"/>
    <n v="25"/>
    <n v="521.25"/>
  </r>
  <r>
    <n v="344"/>
    <x v="217"/>
    <x v="3"/>
    <x v="3"/>
    <x v="7"/>
    <x v="1"/>
    <x v="2"/>
    <n v="61.31"/>
    <n v="9"/>
    <n v="551.79"/>
  </r>
  <r>
    <n v="345"/>
    <x v="180"/>
    <x v="7"/>
    <x v="6"/>
    <x v="2"/>
    <x v="3"/>
    <x v="2"/>
    <n v="60.73"/>
    <n v="13"/>
    <n v="789.49"/>
  </r>
  <r>
    <n v="346"/>
    <x v="159"/>
    <x v="3"/>
    <x v="2"/>
    <x v="1"/>
    <x v="0"/>
    <x v="2"/>
    <n v="101.59"/>
    <n v="32"/>
    <n v="3250.88"/>
  </r>
  <r>
    <n v="347"/>
    <x v="218"/>
    <x v="0"/>
    <x v="5"/>
    <x v="7"/>
    <x v="3"/>
    <x v="0"/>
    <n v="36.61"/>
    <n v="35"/>
    <n v="1281.3499999999999"/>
  </r>
  <r>
    <n v="348"/>
    <x v="219"/>
    <x v="0"/>
    <x v="3"/>
    <x v="1"/>
    <x v="3"/>
    <x v="0"/>
    <n v="18.02"/>
    <n v="8"/>
    <n v="144.16"/>
  </r>
  <r>
    <n v="349"/>
    <x v="2"/>
    <x v="6"/>
    <x v="4"/>
    <x v="1"/>
    <x v="3"/>
    <x v="2"/>
    <n v="118.82"/>
    <n v="7"/>
    <n v="831.74"/>
  </r>
  <r>
    <n v="350"/>
    <x v="35"/>
    <x v="4"/>
    <x v="2"/>
    <x v="0"/>
    <x v="0"/>
    <x v="0"/>
    <n v="104.15"/>
    <n v="6"/>
    <n v="624.9"/>
  </r>
  <r>
    <n v="351"/>
    <x v="3"/>
    <x v="7"/>
    <x v="5"/>
    <x v="5"/>
    <x v="0"/>
    <x v="1"/>
    <n v="84.25"/>
    <n v="46"/>
    <n v="3875.5"/>
  </r>
  <r>
    <n v="352"/>
    <x v="220"/>
    <x v="0"/>
    <x v="5"/>
    <x v="3"/>
    <x v="2"/>
    <x v="2"/>
    <n v="70.56"/>
    <n v="35"/>
    <n v="2469.6"/>
  </r>
  <r>
    <n v="353"/>
    <x v="221"/>
    <x v="1"/>
    <x v="5"/>
    <x v="2"/>
    <x v="1"/>
    <x v="2"/>
    <n v="35.74"/>
    <n v="33"/>
    <n v="1179.42"/>
  </r>
  <r>
    <n v="354"/>
    <x v="222"/>
    <x v="6"/>
    <x v="5"/>
    <x v="3"/>
    <x v="0"/>
    <x v="0"/>
    <n v="19.59"/>
    <n v="9"/>
    <n v="176.31"/>
  </r>
  <r>
    <n v="355"/>
    <x v="210"/>
    <x v="0"/>
    <x v="1"/>
    <x v="2"/>
    <x v="3"/>
    <x v="1"/>
    <n v="61.29"/>
    <n v="37"/>
    <n v="2267.73"/>
  </r>
  <r>
    <n v="356"/>
    <x v="39"/>
    <x v="1"/>
    <x v="1"/>
    <x v="6"/>
    <x v="2"/>
    <x v="2"/>
    <n v="96.38"/>
    <n v="50"/>
    <n v="4819"/>
  </r>
  <r>
    <n v="357"/>
    <x v="106"/>
    <x v="1"/>
    <x v="6"/>
    <x v="3"/>
    <x v="1"/>
    <x v="0"/>
    <n v="42.64"/>
    <n v="1"/>
    <n v="42.64"/>
  </r>
  <r>
    <n v="358"/>
    <x v="223"/>
    <x v="6"/>
    <x v="6"/>
    <x v="6"/>
    <x v="2"/>
    <x v="2"/>
    <n v="30.05"/>
    <n v="28"/>
    <n v="841.4"/>
  </r>
  <r>
    <n v="359"/>
    <x v="224"/>
    <x v="4"/>
    <x v="3"/>
    <x v="1"/>
    <x v="1"/>
    <x v="1"/>
    <n v="67.94"/>
    <n v="9"/>
    <n v="611.46"/>
  </r>
  <r>
    <n v="360"/>
    <x v="225"/>
    <x v="2"/>
    <x v="2"/>
    <x v="5"/>
    <x v="3"/>
    <x v="2"/>
    <n v="95.15"/>
    <n v="30"/>
    <n v="2854.5"/>
  </r>
  <r>
    <n v="361"/>
    <x v="226"/>
    <x v="6"/>
    <x v="5"/>
    <x v="6"/>
    <x v="0"/>
    <x v="2"/>
    <n v="119.06"/>
    <n v="28"/>
    <n v="3333.68"/>
  </r>
  <r>
    <n v="362"/>
    <x v="126"/>
    <x v="1"/>
    <x v="3"/>
    <x v="5"/>
    <x v="1"/>
    <x v="2"/>
    <n v="80.28"/>
    <n v="17"/>
    <n v="1364.76"/>
  </r>
  <r>
    <n v="363"/>
    <x v="225"/>
    <x v="6"/>
    <x v="1"/>
    <x v="4"/>
    <x v="1"/>
    <x v="1"/>
    <n v="40.130000000000003"/>
    <n v="45"/>
    <n v="1805.85"/>
  </r>
  <r>
    <n v="364"/>
    <x v="54"/>
    <x v="6"/>
    <x v="6"/>
    <x v="1"/>
    <x v="1"/>
    <x v="0"/>
    <n v="59.83"/>
    <n v="9"/>
    <n v="538.47"/>
  </r>
  <r>
    <n v="365"/>
    <x v="38"/>
    <x v="3"/>
    <x v="6"/>
    <x v="4"/>
    <x v="0"/>
    <x v="2"/>
    <n v="98.97"/>
    <n v="28"/>
    <n v="2771.16"/>
  </r>
  <r>
    <n v="366"/>
    <x v="227"/>
    <x v="1"/>
    <x v="3"/>
    <x v="3"/>
    <x v="2"/>
    <x v="1"/>
    <n v="89.04"/>
    <n v="7"/>
    <n v="623.28"/>
  </r>
  <r>
    <n v="367"/>
    <x v="102"/>
    <x v="3"/>
    <x v="5"/>
    <x v="4"/>
    <x v="1"/>
    <x v="0"/>
    <n v="93.95"/>
    <n v="49"/>
    <n v="4603.55"/>
  </r>
  <r>
    <n v="368"/>
    <x v="228"/>
    <x v="6"/>
    <x v="5"/>
    <x v="2"/>
    <x v="3"/>
    <x v="1"/>
    <n v="23.87"/>
    <n v="23"/>
    <n v="549.01"/>
  </r>
  <r>
    <n v="369"/>
    <x v="204"/>
    <x v="1"/>
    <x v="1"/>
    <x v="3"/>
    <x v="3"/>
    <x v="2"/>
    <n v="108.11"/>
    <n v="9"/>
    <n v="972.99"/>
  </r>
  <r>
    <n v="370"/>
    <x v="160"/>
    <x v="1"/>
    <x v="0"/>
    <x v="6"/>
    <x v="1"/>
    <x v="0"/>
    <n v="33.5"/>
    <n v="42"/>
    <n v="1407"/>
  </r>
  <r>
    <n v="371"/>
    <x v="119"/>
    <x v="6"/>
    <x v="1"/>
    <x v="6"/>
    <x v="1"/>
    <x v="1"/>
    <n v="28.63"/>
    <n v="39"/>
    <n v="1116.57"/>
  </r>
  <r>
    <n v="372"/>
    <x v="196"/>
    <x v="4"/>
    <x v="2"/>
    <x v="1"/>
    <x v="2"/>
    <x v="2"/>
    <n v="49.38"/>
    <n v="16"/>
    <n v="790.08"/>
  </r>
  <r>
    <n v="373"/>
    <x v="229"/>
    <x v="7"/>
    <x v="3"/>
    <x v="5"/>
    <x v="3"/>
    <x v="1"/>
    <n v="49.49"/>
    <n v="37"/>
    <n v="1831.13"/>
  </r>
  <r>
    <n v="374"/>
    <x v="174"/>
    <x v="0"/>
    <x v="0"/>
    <x v="1"/>
    <x v="1"/>
    <x v="2"/>
    <n v="72.55"/>
    <n v="1"/>
    <n v="72.55"/>
  </r>
  <r>
    <n v="375"/>
    <x v="99"/>
    <x v="7"/>
    <x v="1"/>
    <x v="2"/>
    <x v="1"/>
    <x v="0"/>
    <n v="37.950000000000003"/>
    <n v="46"/>
    <n v="1745.7"/>
  </r>
  <r>
    <n v="376"/>
    <x v="117"/>
    <x v="0"/>
    <x v="2"/>
    <x v="6"/>
    <x v="1"/>
    <x v="0"/>
    <n v="66.83"/>
    <n v="10"/>
    <n v="668.3"/>
  </r>
  <r>
    <n v="377"/>
    <x v="230"/>
    <x v="5"/>
    <x v="1"/>
    <x v="4"/>
    <x v="2"/>
    <x v="0"/>
    <n v="117.05"/>
    <n v="10"/>
    <n v="1170.5"/>
  </r>
  <r>
    <n v="378"/>
    <x v="93"/>
    <x v="2"/>
    <x v="0"/>
    <x v="4"/>
    <x v="3"/>
    <x v="1"/>
    <n v="88.95"/>
    <n v="16"/>
    <n v="1423.2"/>
  </r>
  <r>
    <n v="379"/>
    <x v="231"/>
    <x v="0"/>
    <x v="5"/>
    <x v="4"/>
    <x v="1"/>
    <x v="0"/>
    <n v="75.41"/>
    <n v="4"/>
    <n v="301.64"/>
  </r>
  <r>
    <n v="380"/>
    <x v="232"/>
    <x v="4"/>
    <x v="3"/>
    <x v="6"/>
    <x v="0"/>
    <x v="2"/>
    <n v="85.67"/>
    <n v="11"/>
    <n v="942.37"/>
  </r>
  <r>
    <n v="381"/>
    <x v="19"/>
    <x v="1"/>
    <x v="7"/>
    <x v="3"/>
    <x v="3"/>
    <x v="2"/>
    <n v="91.22"/>
    <n v="18"/>
    <n v="1641.96"/>
  </r>
  <r>
    <n v="382"/>
    <x v="233"/>
    <x v="1"/>
    <x v="6"/>
    <x v="7"/>
    <x v="2"/>
    <x v="1"/>
    <n v="12.35"/>
    <n v="46"/>
    <n v="568.1"/>
  </r>
  <r>
    <n v="383"/>
    <x v="234"/>
    <x v="5"/>
    <x v="5"/>
    <x v="6"/>
    <x v="1"/>
    <x v="0"/>
    <n v="103.83"/>
    <n v="11"/>
    <n v="1142.1300000000001"/>
  </r>
  <r>
    <n v="384"/>
    <x v="235"/>
    <x v="2"/>
    <x v="7"/>
    <x v="1"/>
    <x v="0"/>
    <x v="1"/>
    <n v="88.12"/>
    <n v="15"/>
    <n v="1321.8"/>
  </r>
  <r>
    <n v="385"/>
    <x v="188"/>
    <x v="3"/>
    <x v="7"/>
    <x v="2"/>
    <x v="0"/>
    <x v="2"/>
    <n v="46.86"/>
    <n v="10"/>
    <n v="468.6"/>
  </r>
  <r>
    <n v="386"/>
    <x v="26"/>
    <x v="5"/>
    <x v="4"/>
    <x v="4"/>
    <x v="2"/>
    <x v="1"/>
    <n v="52.87"/>
    <n v="47"/>
    <n v="2484.89"/>
  </r>
  <r>
    <n v="387"/>
    <x v="146"/>
    <x v="3"/>
    <x v="0"/>
    <x v="1"/>
    <x v="3"/>
    <x v="1"/>
    <n v="82.43"/>
    <n v="4"/>
    <n v="329.72"/>
  </r>
  <r>
    <n v="388"/>
    <x v="163"/>
    <x v="0"/>
    <x v="3"/>
    <x v="4"/>
    <x v="3"/>
    <x v="1"/>
    <n v="104.59"/>
    <n v="50"/>
    <n v="5229.5"/>
  </r>
  <r>
    <n v="389"/>
    <x v="236"/>
    <x v="0"/>
    <x v="0"/>
    <x v="7"/>
    <x v="2"/>
    <x v="0"/>
    <n v="28.08"/>
    <n v="37"/>
    <n v="1038.96"/>
  </r>
  <r>
    <n v="390"/>
    <x v="237"/>
    <x v="6"/>
    <x v="0"/>
    <x v="5"/>
    <x v="1"/>
    <x v="2"/>
    <n v="119.75"/>
    <n v="50"/>
    <n v="5987.5"/>
  </r>
  <r>
    <n v="391"/>
    <x v="44"/>
    <x v="2"/>
    <x v="3"/>
    <x v="1"/>
    <x v="3"/>
    <x v="0"/>
    <n v="31.79"/>
    <n v="23"/>
    <n v="731.17"/>
  </r>
  <r>
    <n v="392"/>
    <x v="18"/>
    <x v="6"/>
    <x v="1"/>
    <x v="7"/>
    <x v="1"/>
    <x v="1"/>
    <n v="16.95"/>
    <n v="34"/>
    <n v="576.29999999999995"/>
  </r>
  <r>
    <n v="393"/>
    <x v="78"/>
    <x v="6"/>
    <x v="1"/>
    <x v="3"/>
    <x v="3"/>
    <x v="0"/>
    <n v="37.18"/>
    <n v="3"/>
    <n v="111.54"/>
  </r>
  <r>
    <n v="394"/>
    <x v="238"/>
    <x v="3"/>
    <x v="1"/>
    <x v="4"/>
    <x v="1"/>
    <x v="2"/>
    <n v="71.790000000000006"/>
    <n v="33"/>
    <n v="2369.0700000000002"/>
  </r>
  <r>
    <n v="395"/>
    <x v="239"/>
    <x v="0"/>
    <x v="4"/>
    <x v="3"/>
    <x v="3"/>
    <x v="0"/>
    <n v="115.89"/>
    <n v="16"/>
    <n v="1854.24"/>
  </r>
  <r>
    <n v="396"/>
    <x v="169"/>
    <x v="6"/>
    <x v="2"/>
    <x v="0"/>
    <x v="0"/>
    <x v="0"/>
    <n v="41.58"/>
    <n v="18"/>
    <n v="748.44"/>
  </r>
  <r>
    <n v="397"/>
    <x v="45"/>
    <x v="4"/>
    <x v="6"/>
    <x v="3"/>
    <x v="3"/>
    <x v="1"/>
    <n v="22.87"/>
    <n v="11"/>
    <n v="251.57"/>
  </r>
  <r>
    <n v="398"/>
    <x v="117"/>
    <x v="6"/>
    <x v="6"/>
    <x v="6"/>
    <x v="3"/>
    <x v="2"/>
    <n v="46.2"/>
    <n v="50"/>
    <n v="2310"/>
  </r>
  <r>
    <n v="399"/>
    <x v="81"/>
    <x v="0"/>
    <x v="7"/>
    <x v="0"/>
    <x v="2"/>
    <x v="1"/>
    <n v="15.4"/>
    <n v="44"/>
    <n v="677.6"/>
  </r>
  <r>
    <n v="400"/>
    <x v="107"/>
    <x v="7"/>
    <x v="7"/>
    <x v="6"/>
    <x v="2"/>
    <x v="1"/>
    <n v="86.78"/>
    <n v="23"/>
    <n v="1995.94"/>
  </r>
  <r>
    <n v="401"/>
    <x v="202"/>
    <x v="6"/>
    <x v="2"/>
    <x v="7"/>
    <x v="1"/>
    <x v="1"/>
    <n v="114.49"/>
    <n v="29"/>
    <n v="3320.21"/>
  </r>
  <r>
    <n v="402"/>
    <x v="127"/>
    <x v="6"/>
    <x v="5"/>
    <x v="0"/>
    <x v="3"/>
    <x v="2"/>
    <n v="6.38"/>
    <n v="50"/>
    <n v="319"/>
  </r>
  <r>
    <n v="403"/>
    <x v="113"/>
    <x v="1"/>
    <x v="4"/>
    <x v="4"/>
    <x v="1"/>
    <x v="1"/>
    <n v="77.48"/>
    <n v="42"/>
    <n v="3254.16"/>
  </r>
  <r>
    <n v="404"/>
    <x v="111"/>
    <x v="3"/>
    <x v="2"/>
    <x v="3"/>
    <x v="1"/>
    <x v="1"/>
    <n v="108.79"/>
    <n v="29"/>
    <n v="3154.91"/>
  </r>
  <r>
    <n v="405"/>
    <x v="27"/>
    <x v="7"/>
    <x v="1"/>
    <x v="7"/>
    <x v="1"/>
    <x v="2"/>
    <n v="10.82"/>
    <n v="37"/>
    <n v="400.34"/>
  </r>
  <r>
    <n v="406"/>
    <x v="9"/>
    <x v="6"/>
    <x v="5"/>
    <x v="6"/>
    <x v="2"/>
    <x v="2"/>
    <n v="54.07"/>
    <n v="23"/>
    <n v="1243.6099999999999"/>
  </r>
  <r>
    <n v="407"/>
    <x v="41"/>
    <x v="6"/>
    <x v="4"/>
    <x v="7"/>
    <x v="3"/>
    <x v="0"/>
    <n v="8.98"/>
    <n v="40"/>
    <n v="359.2"/>
  </r>
  <r>
    <n v="408"/>
    <x v="85"/>
    <x v="7"/>
    <x v="5"/>
    <x v="2"/>
    <x v="0"/>
    <x v="0"/>
    <n v="12.01"/>
    <n v="18"/>
    <n v="216.18"/>
  </r>
  <r>
    <n v="409"/>
    <x v="150"/>
    <x v="2"/>
    <x v="1"/>
    <x v="3"/>
    <x v="3"/>
    <x v="0"/>
    <n v="33.65"/>
    <n v="35"/>
    <n v="1177.75"/>
  </r>
  <r>
    <n v="410"/>
    <x v="63"/>
    <x v="5"/>
    <x v="1"/>
    <x v="6"/>
    <x v="0"/>
    <x v="1"/>
    <n v="44.56"/>
    <n v="37"/>
    <n v="1648.72"/>
  </r>
  <r>
    <n v="411"/>
    <x v="158"/>
    <x v="0"/>
    <x v="7"/>
    <x v="7"/>
    <x v="2"/>
    <x v="0"/>
    <n v="73.67"/>
    <n v="2"/>
    <n v="147.34"/>
  </r>
  <r>
    <n v="412"/>
    <x v="118"/>
    <x v="6"/>
    <x v="0"/>
    <x v="6"/>
    <x v="1"/>
    <x v="1"/>
    <n v="117.01"/>
    <n v="7"/>
    <n v="819.07"/>
  </r>
  <r>
    <n v="413"/>
    <x v="194"/>
    <x v="5"/>
    <x v="5"/>
    <x v="5"/>
    <x v="0"/>
    <x v="0"/>
    <n v="102.35"/>
    <n v="25"/>
    <n v="2558.75"/>
  </r>
  <r>
    <n v="414"/>
    <x v="240"/>
    <x v="5"/>
    <x v="7"/>
    <x v="3"/>
    <x v="0"/>
    <x v="0"/>
    <n v="97.71"/>
    <n v="45"/>
    <n v="4396.95"/>
  </r>
  <r>
    <n v="415"/>
    <x v="95"/>
    <x v="0"/>
    <x v="5"/>
    <x v="7"/>
    <x v="1"/>
    <x v="1"/>
    <n v="101.22"/>
    <n v="32"/>
    <n v="3239.04"/>
  </r>
  <r>
    <n v="416"/>
    <x v="135"/>
    <x v="2"/>
    <x v="6"/>
    <x v="1"/>
    <x v="2"/>
    <x v="0"/>
    <n v="31.75"/>
    <n v="15"/>
    <n v="476.25"/>
  </r>
  <r>
    <n v="417"/>
    <x v="241"/>
    <x v="3"/>
    <x v="3"/>
    <x v="1"/>
    <x v="1"/>
    <x v="1"/>
    <n v="97.74"/>
    <n v="22"/>
    <n v="2150.2800000000002"/>
  </r>
  <r>
    <n v="418"/>
    <x v="242"/>
    <x v="1"/>
    <x v="3"/>
    <x v="4"/>
    <x v="2"/>
    <x v="0"/>
    <n v="86.04"/>
    <n v="10"/>
    <n v="860.4"/>
  </r>
  <r>
    <n v="419"/>
    <x v="239"/>
    <x v="5"/>
    <x v="4"/>
    <x v="3"/>
    <x v="0"/>
    <x v="1"/>
    <n v="50.49"/>
    <n v="7"/>
    <n v="353.43"/>
  </r>
  <r>
    <n v="420"/>
    <x v="93"/>
    <x v="5"/>
    <x v="5"/>
    <x v="3"/>
    <x v="0"/>
    <x v="0"/>
    <n v="96.06"/>
    <n v="32"/>
    <n v="3073.92"/>
  </r>
  <r>
    <n v="421"/>
    <x v="3"/>
    <x v="0"/>
    <x v="4"/>
    <x v="5"/>
    <x v="0"/>
    <x v="0"/>
    <n v="98.66"/>
    <n v="25"/>
    <n v="2466.5"/>
  </r>
  <r>
    <n v="422"/>
    <x v="226"/>
    <x v="7"/>
    <x v="7"/>
    <x v="5"/>
    <x v="2"/>
    <x v="0"/>
    <n v="114.11"/>
    <n v="37"/>
    <n v="4222.07"/>
  </r>
  <r>
    <n v="423"/>
    <x v="122"/>
    <x v="4"/>
    <x v="5"/>
    <x v="3"/>
    <x v="1"/>
    <x v="1"/>
    <n v="78.56"/>
    <n v="7"/>
    <n v="549.91999999999996"/>
  </r>
  <r>
    <n v="424"/>
    <x v="192"/>
    <x v="1"/>
    <x v="3"/>
    <x v="7"/>
    <x v="1"/>
    <x v="2"/>
    <n v="117.97"/>
    <n v="11"/>
    <n v="1297.67"/>
  </r>
  <r>
    <n v="425"/>
    <x v="211"/>
    <x v="5"/>
    <x v="4"/>
    <x v="4"/>
    <x v="1"/>
    <x v="1"/>
    <n v="33.700000000000003"/>
    <n v="5"/>
    <n v="168.5"/>
  </r>
  <r>
    <n v="426"/>
    <x v="243"/>
    <x v="3"/>
    <x v="1"/>
    <x v="7"/>
    <x v="3"/>
    <x v="2"/>
    <n v="55.4"/>
    <n v="27"/>
    <n v="1495.8"/>
  </r>
  <r>
    <n v="427"/>
    <x v="166"/>
    <x v="6"/>
    <x v="5"/>
    <x v="7"/>
    <x v="1"/>
    <x v="1"/>
    <n v="48.16"/>
    <n v="31"/>
    <n v="1492.96"/>
  </r>
  <r>
    <n v="428"/>
    <x v="6"/>
    <x v="1"/>
    <x v="2"/>
    <x v="3"/>
    <x v="0"/>
    <x v="2"/>
    <n v="7.31"/>
    <n v="17"/>
    <n v="124.27"/>
  </r>
  <r>
    <n v="429"/>
    <x v="244"/>
    <x v="1"/>
    <x v="3"/>
    <x v="7"/>
    <x v="1"/>
    <x v="2"/>
    <n v="89.18"/>
    <n v="36"/>
    <n v="3210.48"/>
  </r>
  <r>
    <n v="430"/>
    <x v="184"/>
    <x v="3"/>
    <x v="7"/>
    <x v="4"/>
    <x v="2"/>
    <x v="1"/>
    <n v="23.97"/>
    <n v="28"/>
    <n v="671.16"/>
  </r>
  <r>
    <n v="431"/>
    <x v="77"/>
    <x v="0"/>
    <x v="4"/>
    <x v="6"/>
    <x v="0"/>
    <x v="1"/>
    <n v="52.07"/>
    <n v="36"/>
    <n v="1874.52"/>
  </r>
  <r>
    <n v="432"/>
    <x v="132"/>
    <x v="4"/>
    <x v="5"/>
    <x v="1"/>
    <x v="2"/>
    <x v="1"/>
    <n v="50.18"/>
    <n v="36"/>
    <n v="1806.48"/>
  </r>
  <r>
    <n v="433"/>
    <x v="155"/>
    <x v="4"/>
    <x v="0"/>
    <x v="4"/>
    <x v="1"/>
    <x v="1"/>
    <n v="15.08"/>
    <n v="43"/>
    <n v="648.44000000000005"/>
  </r>
  <r>
    <n v="434"/>
    <x v="245"/>
    <x v="4"/>
    <x v="2"/>
    <x v="6"/>
    <x v="3"/>
    <x v="2"/>
    <n v="78.39"/>
    <n v="6"/>
    <n v="470.34"/>
  </r>
  <r>
    <n v="435"/>
    <x v="246"/>
    <x v="1"/>
    <x v="1"/>
    <x v="5"/>
    <x v="2"/>
    <x v="2"/>
    <n v="107.91"/>
    <n v="17"/>
    <n v="1834.47"/>
  </r>
  <r>
    <n v="436"/>
    <x v="199"/>
    <x v="0"/>
    <x v="6"/>
    <x v="7"/>
    <x v="2"/>
    <x v="1"/>
    <n v="26.46"/>
    <n v="3"/>
    <n v="79.38"/>
  </r>
  <r>
    <n v="437"/>
    <x v="206"/>
    <x v="1"/>
    <x v="2"/>
    <x v="3"/>
    <x v="3"/>
    <x v="0"/>
    <n v="69.89"/>
    <n v="10"/>
    <n v="698.9"/>
  </r>
  <r>
    <n v="438"/>
    <x v="7"/>
    <x v="7"/>
    <x v="6"/>
    <x v="0"/>
    <x v="3"/>
    <x v="2"/>
    <n v="68.66"/>
    <n v="25"/>
    <n v="1716.5"/>
  </r>
  <r>
    <n v="439"/>
    <x v="247"/>
    <x v="2"/>
    <x v="5"/>
    <x v="4"/>
    <x v="3"/>
    <x v="1"/>
    <n v="50.4"/>
    <n v="46"/>
    <n v="2318.4"/>
  </r>
  <r>
    <n v="440"/>
    <x v="217"/>
    <x v="3"/>
    <x v="7"/>
    <x v="2"/>
    <x v="1"/>
    <x v="0"/>
    <n v="116.8"/>
    <n v="13"/>
    <n v="1518.4"/>
  </r>
  <r>
    <n v="441"/>
    <x v="48"/>
    <x v="3"/>
    <x v="4"/>
    <x v="3"/>
    <x v="1"/>
    <x v="1"/>
    <n v="28.22"/>
    <n v="41"/>
    <n v="1157.02"/>
  </r>
  <r>
    <n v="442"/>
    <x v="151"/>
    <x v="5"/>
    <x v="4"/>
    <x v="7"/>
    <x v="1"/>
    <x v="0"/>
    <n v="68.98"/>
    <n v="36"/>
    <n v="2483.2800000000002"/>
  </r>
  <r>
    <n v="443"/>
    <x v="105"/>
    <x v="1"/>
    <x v="1"/>
    <x v="5"/>
    <x v="0"/>
    <x v="0"/>
    <n v="72.569999999999993"/>
    <n v="27"/>
    <n v="1959.39"/>
  </r>
  <r>
    <n v="444"/>
    <x v="3"/>
    <x v="1"/>
    <x v="2"/>
    <x v="6"/>
    <x v="2"/>
    <x v="2"/>
    <n v="72.010000000000005"/>
    <n v="7"/>
    <n v="504.07"/>
  </r>
  <r>
    <n v="445"/>
    <x v="248"/>
    <x v="4"/>
    <x v="7"/>
    <x v="5"/>
    <x v="2"/>
    <x v="2"/>
    <n v="49.05"/>
    <n v="32"/>
    <n v="1569.6"/>
  </r>
  <r>
    <n v="446"/>
    <x v="104"/>
    <x v="7"/>
    <x v="7"/>
    <x v="2"/>
    <x v="2"/>
    <x v="0"/>
    <n v="76.099999999999994"/>
    <n v="44"/>
    <n v="3348.4"/>
  </r>
  <r>
    <n v="447"/>
    <x v="23"/>
    <x v="0"/>
    <x v="3"/>
    <x v="1"/>
    <x v="2"/>
    <x v="2"/>
    <n v="10.67"/>
    <n v="31"/>
    <n v="330.77"/>
  </r>
  <r>
    <n v="448"/>
    <x v="249"/>
    <x v="1"/>
    <x v="0"/>
    <x v="5"/>
    <x v="2"/>
    <x v="0"/>
    <n v="37.24"/>
    <n v="32"/>
    <n v="1191.68"/>
  </r>
  <r>
    <n v="449"/>
    <x v="110"/>
    <x v="0"/>
    <x v="1"/>
    <x v="4"/>
    <x v="0"/>
    <x v="2"/>
    <n v="94.01"/>
    <n v="21"/>
    <n v="1974.21"/>
  </r>
  <r>
    <n v="450"/>
    <x v="76"/>
    <x v="4"/>
    <x v="3"/>
    <x v="1"/>
    <x v="0"/>
    <x v="1"/>
    <n v="110.04"/>
    <n v="27"/>
    <n v="2971.08"/>
  </r>
  <r>
    <n v="451"/>
    <x v="249"/>
    <x v="3"/>
    <x v="7"/>
    <x v="5"/>
    <x v="0"/>
    <x v="1"/>
    <n v="86.6"/>
    <n v="26"/>
    <n v="2251.6"/>
  </r>
  <r>
    <n v="452"/>
    <x v="250"/>
    <x v="2"/>
    <x v="3"/>
    <x v="0"/>
    <x v="2"/>
    <x v="2"/>
    <n v="33.69"/>
    <n v="30"/>
    <n v="1010.7"/>
  </r>
  <r>
    <n v="453"/>
    <x v="191"/>
    <x v="1"/>
    <x v="7"/>
    <x v="0"/>
    <x v="2"/>
    <x v="2"/>
    <n v="63.09"/>
    <n v="41"/>
    <n v="2586.69"/>
  </r>
  <r>
    <n v="454"/>
    <x v="139"/>
    <x v="5"/>
    <x v="3"/>
    <x v="5"/>
    <x v="2"/>
    <x v="0"/>
    <n v="56.3"/>
    <n v="31"/>
    <n v="1745.3"/>
  </r>
  <r>
    <n v="455"/>
    <x v="251"/>
    <x v="7"/>
    <x v="7"/>
    <x v="5"/>
    <x v="0"/>
    <x v="1"/>
    <n v="15.4"/>
    <n v="2"/>
    <n v="30.8"/>
  </r>
  <r>
    <n v="456"/>
    <x v="214"/>
    <x v="0"/>
    <x v="1"/>
    <x v="1"/>
    <x v="1"/>
    <x v="2"/>
    <n v="30.89"/>
    <n v="14"/>
    <n v="432.46"/>
  </r>
  <r>
    <n v="457"/>
    <x v="229"/>
    <x v="2"/>
    <x v="0"/>
    <x v="6"/>
    <x v="2"/>
    <x v="0"/>
    <n v="79.45"/>
    <n v="39"/>
    <n v="3098.55"/>
  </r>
  <r>
    <n v="458"/>
    <x v="159"/>
    <x v="7"/>
    <x v="3"/>
    <x v="7"/>
    <x v="2"/>
    <x v="1"/>
    <n v="78.92"/>
    <n v="28"/>
    <n v="2209.7600000000002"/>
  </r>
  <r>
    <n v="459"/>
    <x v="163"/>
    <x v="7"/>
    <x v="2"/>
    <x v="1"/>
    <x v="2"/>
    <x v="0"/>
    <n v="39.75"/>
    <n v="34"/>
    <n v="1351.5"/>
  </r>
  <r>
    <n v="460"/>
    <x v="214"/>
    <x v="0"/>
    <x v="2"/>
    <x v="7"/>
    <x v="1"/>
    <x v="2"/>
    <n v="73.28"/>
    <n v="19"/>
    <n v="1392.32"/>
  </r>
  <r>
    <n v="461"/>
    <x v="252"/>
    <x v="0"/>
    <x v="4"/>
    <x v="0"/>
    <x v="0"/>
    <x v="0"/>
    <n v="78.67"/>
    <n v="18"/>
    <n v="1416.06"/>
  </r>
  <r>
    <n v="462"/>
    <x v="253"/>
    <x v="7"/>
    <x v="3"/>
    <x v="5"/>
    <x v="1"/>
    <x v="0"/>
    <n v="108.46"/>
    <n v="39"/>
    <n v="4229.9399999999996"/>
  </r>
  <r>
    <n v="463"/>
    <x v="254"/>
    <x v="7"/>
    <x v="1"/>
    <x v="2"/>
    <x v="1"/>
    <x v="0"/>
    <n v="119.71"/>
    <n v="17"/>
    <n v="2035.07"/>
  </r>
  <r>
    <n v="464"/>
    <x v="22"/>
    <x v="5"/>
    <x v="0"/>
    <x v="7"/>
    <x v="2"/>
    <x v="0"/>
    <n v="119.4"/>
    <n v="13"/>
    <n v="1552.2"/>
  </r>
  <r>
    <n v="465"/>
    <x v="197"/>
    <x v="3"/>
    <x v="4"/>
    <x v="4"/>
    <x v="3"/>
    <x v="1"/>
    <n v="102.22"/>
    <n v="43"/>
    <n v="4395.46"/>
  </r>
  <r>
    <n v="466"/>
    <x v="255"/>
    <x v="3"/>
    <x v="3"/>
    <x v="4"/>
    <x v="0"/>
    <x v="2"/>
    <n v="88.4"/>
    <n v="36"/>
    <n v="3182.4"/>
  </r>
  <r>
    <n v="467"/>
    <x v="256"/>
    <x v="7"/>
    <x v="3"/>
    <x v="3"/>
    <x v="2"/>
    <x v="0"/>
    <n v="90.58"/>
    <n v="20"/>
    <n v="1811.6"/>
  </r>
  <r>
    <n v="468"/>
    <x v="6"/>
    <x v="4"/>
    <x v="7"/>
    <x v="4"/>
    <x v="3"/>
    <x v="1"/>
    <n v="58.33"/>
    <n v="8"/>
    <n v="466.64"/>
  </r>
  <r>
    <n v="469"/>
    <x v="257"/>
    <x v="7"/>
    <x v="4"/>
    <x v="2"/>
    <x v="1"/>
    <x v="1"/>
    <n v="18.78"/>
    <n v="44"/>
    <n v="826.32"/>
  </r>
  <r>
    <n v="470"/>
    <x v="232"/>
    <x v="7"/>
    <x v="6"/>
    <x v="5"/>
    <x v="2"/>
    <x v="0"/>
    <n v="119.12"/>
    <n v="22"/>
    <n v="2620.64"/>
  </r>
  <r>
    <n v="471"/>
    <x v="258"/>
    <x v="5"/>
    <x v="5"/>
    <x v="3"/>
    <x v="1"/>
    <x v="1"/>
    <n v="94.58"/>
    <n v="32"/>
    <n v="3026.56"/>
  </r>
  <r>
    <n v="472"/>
    <x v="259"/>
    <x v="3"/>
    <x v="5"/>
    <x v="7"/>
    <x v="1"/>
    <x v="1"/>
    <n v="36.46"/>
    <n v="49"/>
    <n v="1786.54"/>
  </r>
  <r>
    <n v="473"/>
    <x v="149"/>
    <x v="7"/>
    <x v="1"/>
    <x v="7"/>
    <x v="3"/>
    <x v="1"/>
    <n v="54.88"/>
    <n v="28"/>
    <n v="1536.64"/>
  </r>
  <r>
    <n v="474"/>
    <x v="148"/>
    <x v="5"/>
    <x v="7"/>
    <x v="3"/>
    <x v="0"/>
    <x v="1"/>
    <n v="66.38"/>
    <n v="47"/>
    <n v="3119.86"/>
  </r>
  <r>
    <n v="475"/>
    <x v="116"/>
    <x v="6"/>
    <x v="0"/>
    <x v="3"/>
    <x v="2"/>
    <x v="1"/>
    <n v="5.47"/>
    <n v="47"/>
    <n v="257.08999999999997"/>
  </r>
  <r>
    <n v="476"/>
    <x v="1"/>
    <x v="0"/>
    <x v="5"/>
    <x v="4"/>
    <x v="1"/>
    <x v="2"/>
    <n v="49.11"/>
    <n v="38"/>
    <n v="1866.18"/>
  </r>
  <r>
    <n v="477"/>
    <x v="260"/>
    <x v="5"/>
    <x v="1"/>
    <x v="5"/>
    <x v="2"/>
    <x v="2"/>
    <n v="57.43"/>
    <n v="34"/>
    <n v="1952.62"/>
  </r>
  <r>
    <n v="478"/>
    <x v="261"/>
    <x v="7"/>
    <x v="7"/>
    <x v="0"/>
    <x v="0"/>
    <x v="0"/>
    <n v="91.26"/>
    <n v="11"/>
    <n v="1003.86"/>
  </r>
  <r>
    <n v="479"/>
    <x v="229"/>
    <x v="3"/>
    <x v="2"/>
    <x v="3"/>
    <x v="1"/>
    <x v="2"/>
    <n v="29.29"/>
    <n v="2"/>
    <n v="58.58"/>
  </r>
  <r>
    <n v="480"/>
    <x v="0"/>
    <x v="2"/>
    <x v="7"/>
    <x v="4"/>
    <x v="1"/>
    <x v="1"/>
    <n v="34.42"/>
    <n v="35"/>
    <n v="1204.7"/>
  </r>
  <r>
    <n v="481"/>
    <x v="20"/>
    <x v="7"/>
    <x v="2"/>
    <x v="6"/>
    <x v="3"/>
    <x v="0"/>
    <n v="18.32"/>
    <n v="29"/>
    <n v="531.28"/>
  </r>
  <r>
    <n v="482"/>
    <x v="262"/>
    <x v="2"/>
    <x v="4"/>
    <x v="2"/>
    <x v="1"/>
    <x v="0"/>
    <n v="28.63"/>
    <n v="44"/>
    <n v="1259.72"/>
  </r>
  <r>
    <n v="483"/>
    <x v="195"/>
    <x v="3"/>
    <x v="1"/>
    <x v="4"/>
    <x v="1"/>
    <x v="2"/>
    <n v="36.049999999999997"/>
    <n v="39"/>
    <n v="1405.95"/>
  </r>
  <r>
    <n v="484"/>
    <x v="68"/>
    <x v="6"/>
    <x v="0"/>
    <x v="6"/>
    <x v="0"/>
    <x v="2"/>
    <n v="95.25"/>
    <n v="32"/>
    <n v="3048"/>
  </r>
  <r>
    <n v="485"/>
    <x v="36"/>
    <x v="2"/>
    <x v="6"/>
    <x v="0"/>
    <x v="3"/>
    <x v="2"/>
    <n v="52.12"/>
    <n v="11"/>
    <n v="573.32000000000005"/>
  </r>
  <r>
    <n v="486"/>
    <x v="31"/>
    <x v="1"/>
    <x v="2"/>
    <x v="7"/>
    <x v="0"/>
    <x v="1"/>
    <n v="5.31"/>
    <n v="43"/>
    <n v="228.33"/>
  </r>
  <r>
    <n v="487"/>
    <x v="219"/>
    <x v="1"/>
    <x v="4"/>
    <x v="0"/>
    <x v="3"/>
    <x v="2"/>
    <n v="13.63"/>
    <n v="47"/>
    <n v="640.61"/>
  </r>
  <r>
    <n v="488"/>
    <x v="248"/>
    <x v="3"/>
    <x v="7"/>
    <x v="6"/>
    <x v="2"/>
    <x v="0"/>
    <n v="58.39"/>
    <n v="7"/>
    <n v="408.73"/>
  </r>
  <r>
    <n v="489"/>
    <x v="125"/>
    <x v="1"/>
    <x v="7"/>
    <x v="1"/>
    <x v="0"/>
    <x v="0"/>
    <n v="53.99"/>
    <n v="8"/>
    <n v="431.92"/>
  </r>
  <r>
    <n v="490"/>
    <x v="214"/>
    <x v="4"/>
    <x v="4"/>
    <x v="4"/>
    <x v="2"/>
    <x v="2"/>
    <n v="24.61"/>
    <n v="23"/>
    <n v="566.03"/>
  </r>
  <r>
    <n v="491"/>
    <x v="65"/>
    <x v="4"/>
    <x v="4"/>
    <x v="2"/>
    <x v="3"/>
    <x v="2"/>
    <n v="18.09"/>
    <n v="26"/>
    <n v="470.34"/>
  </r>
  <r>
    <n v="492"/>
    <x v="228"/>
    <x v="1"/>
    <x v="5"/>
    <x v="1"/>
    <x v="0"/>
    <x v="1"/>
    <n v="106.9"/>
    <n v="11"/>
    <n v="1175.9000000000001"/>
  </r>
  <r>
    <n v="493"/>
    <x v="263"/>
    <x v="4"/>
    <x v="5"/>
    <x v="2"/>
    <x v="2"/>
    <x v="0"/>
    <n v="109.79"/>
    <n v="31"/>
    <n v="3403.49"/>
  </r>
  <r>
    <n v="494"/>
    <x v="215"/>
    <x v="3"/>
    <x v="6"/>
    <x v="7"/>
    <x v="1"/>
    <x v="2"/>
    <n v="104.2"/>
    <n v="47"/>
    <n v="4897.3999999999996"/>
  </r>
  <r>
    <n v="495"/>
    <x v="59"/>
    <x v="5"/>
    <x v="7"/>
    <x v="0"/>
    <x v="2"/>
    <x v="0"/>
    <n v="10.29"/>
    <n v="17"/>
    <n v="174.93"/>
  </r>
  <r>
    <n v="496"/>
    <x v="73"/>
    <x v="1"/>
    <x v="1"/>
    <x v="0"/>
    <x v="3"/>
    <x v="2"/>
    <n v="84.15"/>
    <n v="40"/>
    <n v="3366"/>
  </r>
  <r>
    <n v="497"/>
    <x v="239"/>
    <x v="3"/>
    <x v="7"/>
    <x v="1"/>
    <x v="0"/>
    <x v="0"/>
    <n v="82.77"/>
    <n v="25"/>
    <n v="2069.25"/>
  </r>
  <r>
    <n v="498"/>
    <x v="138"/>
    <x v="1"/>
    <x v="6"/>
    <x v="3"/>
    <x v="0"/>
    <x v="2"/>
    <n v="102.97"/>
    <n v="11"/>
    <n v="1132.67"/>
  </r>
  <r>
    <n v="499"/>
    <x v="47"/>
    <x v="7"/>
    <x v="1"/>
    <x v="0"/>
    <x v="1"/>
    <x v="2"/>
    <n v="10.79"/>
    <n v="15"/>
    <n v="161.85"/>
  </r>
  <r>
    <n v="500"/>
    <x v="156"/>
    <x v="1"/>
    <x v="6"/>
    <x v="7"/>
    <x v="2"/>
    <x v="1"/>
    <n v="97.15"/>
    <n v="29"/>
    <n v="2817.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D9D373-C1FE-4C0D-A515-B26724ECE3E0}"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1">
  <location ref="L7:M16" firstHeaderRow="1" firstDataRow="1" firstDataCol="1"/>
  <pivotFields count="12">
    <pivotField showAll="0"/>
    <pivotField numFmtId="14" showAll="0">
      <items count="265">
        <item x="226"/>
        <item x="87"/>
        <item x="180"/>
        <item x="174"/>
        <item x="136"/>
        <item x="44"/>
        <item x="70"/>
        <item x="215"/>
        <item x="202"/>
        <item x="218"/>
        <item x="114"/>
        <item x="148"/>
        <item x="92"/>
        <item x="49"/>
        <item x="108"/>
        <item x="132"/>
        <item x="171"/>
        <item x="25"/>
        <item x="135"/>
        <item x="250"/>
        <item x="220"/>
        <item x="167"/>
        <item x="247"/>
        <item x="60"/>
        <item x="238"/>
        <item x="204"/>
        <item x="227"/>
        <item x="107"/>
        <item x="126"/>
        <item x="142"/>
        <item x="1"/>
        <item x="128"/>
        <item x="72"/>
        <item x="45"/>
        <item x="68"/>
        <item x="37"/>
        <item x="157"/>
        <item x="81"/>
        <item x="127"/>
        <item x="19"/>
        <item x="161"/>
        <item x="229"/>
        <item x="58"/>
        <item x="232"/>
        <item x="160"/>
        <item x="104"/>
        <item x="41"/>
        <item x="262"/>
        <item x="144"/>
        <item x="244"/>
        <item x="145"/>
        <item x="89"/>
        <item x="217"/>
        <item x="245"/>
        <item x="52"/>
        <item x="179"/>
        <item x="190"/>
        <item x="258"/>
        <item x="65"/>
        <item x="203"/>
        <item x="95"/>
        <item x="77"/>
        <item x="216"/>
        <item x="111"/>
        <item x="67"/>
        <item x="241"/>
        <item x="230"/>
        <item x="193"/>
        <item x="198"/>
        <item x="211"/>
        <item x="76"/>
        <item x="54"/>
        <item x="4"/>
        <item x="2"/>
        <item x="57"/>
        <item x="122"/>
        <item x="256"/>
        <item x="97"/>
        <item x="7"/>
        <item x="118"/>
        <item x="31"/>
        <item x="23"/>
        <item x="101"/>
        <item x="253"/>
        <item x="79"/>
        <item x="74"/>
        <item x="21"/>
        <item x="26"/>
        <item x="121"/>
        <item x="109"/>
        <item x="255"/>
        <item x="183"/>
        <item x="40"/>
        <item x="248"/>
        <item x="200"/>
        <item x="206"/>
        <item x="10"/>
        <item x="133"/>
        <item x="252"/>
        <item x="47"/>
        <item x="141"/>
        <item x="260"/>
        <item x="84"/>
        <item x="6"/>
        <item x="112"/>
        <item x="16"/>
        <item x="197"/>
        <item x="119"/>
        <item x="90"/>
        <item x="46"/>
        <item x="18"/>
        <item x="249"/>
        <item x="125"/>
        <item x="11"/>
        <item x="240"/>
        <item x="158"/>
        <item x="94"/>
        <item x="91"/>
        <item x="131"/>
        <item x="169"/>
        <item x="120"/>
        <item x="50"/>
        <item x="224"/>
        <item x="137"/>
        <item x="168"/>
        <item x="38"/>
        <item x="5"/>
        <item x="192"/>
        <item x="35"/>
        <item x="130"/>
        <item x="153"/>
        <item x="261"/>
        <item x="83"/>
        <item x="143"/>
        <item x="42"/>
        <item x="236"/>
        <item x="199"/>
        <item x="28"/>
        <item x="102"/>
        <item x="243"/>
        <item x="151"/>
        <item x="62"/>
        <item x="210"/>
        <item x="33"/>
        <item x="223"/>
        <item x="13"/>
        <item x="86"/>
        <item x="51"/>
        <item x="185"/>
        <item x="24"/>
        <item x="162"/>
        <item x="124"/>
        <item x="115"/>
        <item x="263"/>
        <item x="207"/>
        <item x="155"/>
        <item x="53"/>
        <item x="48"/>
        <item x="93"/>
        <item x="59"/>
        <item x="110"/>
        <item x="156"/>
        <item x="187"/>
        <item x="189"/>
        <item x="172"/>
        <item x="259"/>
        <item x="231"/>
        <item x="213"/>
        <item x="34"/>
        <item x="27"/>
        <item x="191"/>
        <item x="163"/>
        <item x="15"/>
        <item x="138"/>
        <item x="188"/>
        <item x="175"/>
        <item x="55"/>
        <item x="85"/>
        <item x="147"/>
        <item x="82"/>
        <item x="63"/>
        <item x="106"/>
        <item x="246"/>
        <item x="237"/>
        <item x="196"/>
        <item x="254"/>
        <item x="234"/>
        <item x="257"/>
        <item x="146"/>
        <item x="123"/>
        <item x="99"/>
        <item x="219"/>
        <item x="152"/>
        <item x="154"/>
        <item x="195"/>
        <item x="73"/>
        <item x="233"/>
        <item x="150"/>
        <item x="17"/>
        <item x="71"/>
        <item x="64"/>
        <item x="117"/>
        <item x="100"/>
        <item x="66"/>
        <item x="181"/>
        <item x="166"/>
        <item x="80"/>
        <item x="98"/>
        <item x="205"/>
        <item x="29"/>
        <item x="178"/>
        <item x="43"/>
        <item x="201"/>
        <item x="182"/>
        <item x="221"/>
        <item x="194"/>
        <item x="30"/>
        <item x="32"/>
        <item x="61"/>
        <item x="242"/>
        <item x="3"/>
        <item x="103"/>
        <item x="139"/>
        <item x="170"/>
        <item x="212"/>
        <item x="69"/>
        <item x="96"/>
        <item x="75"/>
        <item x="173"/>
        <item x="149"/>
        <item x="208"/>
        <item x="209"/>
        <item x="105"/>
        <item x="225"/>
        <item x="14"/>
        <item x="176"/>
        <item x="39"/>
        <item x="8"/>
        <item x="0"/>
        <item x="165"/>
        <item x="12"/>
        <item x="140"/>
        <item x="214"/>
        <item x="228"/>
        <item x="184"/>
        <item x="222"/>
        <item x="129"/>
        <item x="164"/>
        <item x="239"/>
        <item x="235"/>
        <item x="116"/>
        <item x="134"/>
        <item x="9"/>
        <item x="113"/>
        <item x="251"/>
        <item x="20"/>
        <item x="56"/>
        <item x="177"/>
        <item x="186"/>
        <item x="36"/>
        <item x="88"/>
        <item x="22"/>
        <item x="159"/>
        <item x="78"/>
        <item t="default"/>
      </items>
    </pivotField>
    <pivotField showAll="0">
      <items count="9">
        <item x="5"/>
        <item x="4"/>
        <item x="0"/>
        <item x="6"/>
        <item x="1"/>
        <item x="3"/>
        <item x="2"/>
        <item x="7"/>
        <item t="default"/>
      </items>
    </pivotField>
    <pivotField axis="axisRow" showAll="0">
      <items count="9">
        <item x="4"/>
        <item x="3"/>
        <item x="0"/>
        <item x="6"/>
        <item x="7"/>
        <item x="1"/>
        <item x="2"/>
        <item x="5"/>
        <item t="default"/>
      </items>
    </pivotField>
    <pivotField showAll="0">
      <items count="9">
        <item x="7"/>
        <item x="3"/>
        <item x="2"/>
        <item x="6"/>
        <item x="5"/>
        <item x="0"/>
        <item x="4"/>
        <item x="1"/>
        <item t="default"/>
      </items>
    </pivotField>
    <pivotField showAll="0">
      <items count="5">
        <item x="3"/>
        <item x="2"/>
        <item x="1"/>
        <item x="0"/>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9">
    <i>
      <x/>
    </i>
    <i>
      <x v="1"/>
    </i>
    <i>
      <x v="2"/>
    </i>
    <i>
      <x v="3"/>
    </i>
    <i>
      <x v="4"/>
    </i>
    <i>
      <x v="5"/>
    </i>
    <i>
      <x v="6"/>
    </i>
    <i>
      <x v="7"/>
    </i>
    <i t="grand">
      <x/>
    </i>
  </rowItems>
  <colItems count="1">
    <i/>
  </colItems>
  <dataFields count="1">
    <dataField name="Sum of Revenue_USD" fld="9" baseField="0" baseItem="0"/>
  </dataFields>
  <chartFormats count="18">
    <chartFormat chart="15" format="0" series="1">
      <pivotArea type="data" outline="0" fieldPosition="0">
        <references count="1">
          <reference field="4294967294" count="1" selected="0">
            <x v="0"/>
          </reference>
        </references>
      </pivotArea>
    </chartFormat>
    <chartFormat chart="18" format="19" series="1">
      <pivotArea type="data" outline="0" fieldPosition="0">
        <references count="1">
          <reference field="4294967294" count="1" selected="0">
            <x v="0"/>
          </reference>
        </references>
      </pivotArea>
    </chartFormat>
    <chartFormat chart="18" format="20">
      <pivotArea type="data" outline="0" fieldPosition="0">
        <references count="2">
          <reference field="4294967294" count="1" selected="0">
            <x v="0"/>
          </reference>
          <reference field="3" count="1" selected="0">
            <x v="0"/>
          </reference>
        </references>
      </pivotArea>
    </chartFormat>
    <chartFormat chart="18" format="21">
      <pivotArea type="data" outline="0" fieldPosition="0">
        <references count="2">
          <reference field="4294967294" count="1" selected="0">
            <x v="0"/>
          </reference>
          <reference field="3" count="1" selected="0">
            <x v="1"/>
          </reference>
        </references>
      </pivotArea>
    </chartFormat>
    <chartFormat chart="18" format="22">
      <pivotArea type="data" outline="0" fieldPosition="0">
        <references count="2">
          <reference field="4294967294" count="1" selected="0">
            <x v="0"/>
          </reference>
          <reference field="3" count="1" selected="0">
            <x v="2"/>
          </reference>
        </references>
      </pivotArea>
    </chartFormat>
    <chartFormat chart="18" format="23">
      <pivotArea type="data" outline="0" fieldPosition="0">
        <references count="2">
          <reference field="4294967294" count="1" selected="0">
            <x v="0"/>
          </reference>
          <reference field="3" count="1" selected="0">
            <x v="3"/>
          </reference>
        </references>
      </pivotArea>
    </chartFormat>
    <chartFormat chart="18" format="24">
      <pivotArea type="data" outline="0" fieldPosition="0">
        <references count="2">
          <reference field="4294967294" count="1" selected="0">
            <x v="0"/>
          </reference>
          <reference field="3" count="1" selected="0">
            <x v="4"/>
          </reference>
        </references>
      </pivotArea>
    </chartFormat>
    <chartFormat chart="18" format="25">
      <pivotArea type="data" outline="0" fieldPosition="0">
        <references count="2">
          <reference field="4294967294" count="1" selected="0">
            <x v="0"/>
          </reference>
          <reference field="3" count="1" selected="0">
            <x v="5"/>
          </reference>
        </references>
      </pivotArea>
    </chartFormat>
    <chartFormat chart="18" format="26">
      <pivotArea type="data" outline="0" fieldPosition="0">
        <references count="2">
          <reference field="4294967294" count="1" selected="0">
            <x v="0"/>
          </reference>
          <reference field="3" count="1" selected="0">
            <x v="6"/>
          </reference>
        </references>
      </pivotArea>
    </chartFormat>
    <chartFormat chart="18" format="27">
      <pivotArea type="data" outline="0" fieldPosition="0">
        <references count="2">
          <reference field="4294967294" count="1" selected="0">
            <x v="0"/>
          </reference>
          <reference field="3" count="1" selected="0">
            <x v="7"/>
          </reference>
        </references>
      </pivotArea>
    </chartFormat>
    <chartFormat chart="15" format="1">
      <pivotArea type="data" outline="0" fieldPosition="0">
        <references count="2">
          <reference field="4294967294" count="1" selected="0">
            <x v="0"/>
          </reference>
          <reference field="3" count="1" selected="0">
            <x v="0"/>
          </reference>
        </references>
      </pivotArea>
    </chartFormat>
    <chartFormat chart="15" format="2">
      <pivotArea type="data" outline="0" fieldPosition="0">
        <references count="2">
          <reference field="4294967294" count="1" selected="0">
            <x v="0"/>
          </reference>
          <reference field="3" count="1" selected="0">
            <x v="1"/>
          </reference>
        </references>
      </pivotArea>
    </chartFormat>
    <chartFormat chart="15" format="3">
      <pivotArea type="data" outline="0" fieldPosition="0">
        <references count="2">
          <reference field="4294967294" count="1" selected="0">
            <x v="0"/>
          </reference>
          <reference field="3" count="1" selected="0">
            <x v="2"/>
          </reference>
        </references>
      </pivotArea>
    </chartFormat>
    <chartFormat chart="15" format="4">
      <pivotArea type="data" outline="0" fieldPosition="0">
        <references count="2">
          <reference field="4294967294" count="1" selected="0">
            <x v="0"/>
          </reference>
          <reference field="3" count="1" selected="0">
            <x v="3"/>
          </reference>
        </references>
      </pivotArea>
    </chartFormat>
    <chartFormat chart="15" format="5">
      <pivotArea type="data" outline="0" fieldPosition="0">
        <references count="2">
          <reference field="4294967294" count="1" selected="0">
            <x v="0"/>
          </reference>
          <reference field="3" count="1" selected="0">
            <x v="4"/>
          </reference>
        </references>
      </pivotArea>
    </chartFormat>
    <chartFormat chart="15" format="6">
      <pivotArea type="data" outline="0" fieldPosition="0">
        <references count="2">
          <reference field="4294967294" count="1" selected="0">
            <x v="0"/>
          </reference>
          <reference field="3" count="1" selected="0">
            <x v="5"/>
          </reference>
        </references>
      </pivotArea>
    </chartFormat>
    <chartFormat chart="15" format="7">
      <pivotArea type="data" outline="0" fieldPosition="0">
        <references count="2">
          <reference field="4294967294" count="1" selected="0">
            <x v="0"/>
          </reference>
          <reference field="3" count="1" selected="0">
            <x v="6"/>
          </reference>
        </references>
      </pivotArea>
    </chartFormat>
    <chartFormat chart="15" format="8">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B5A4416-863F-43DA-97C2-6EE0AC744094}" name="PivotTable1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16" firstHeaderRow="1" firstDataRow="1" firstDataCol="1"/>
  <pivotFields count="12">
    <pivotField showAll="0"/>
    <pivotField axis="axisRow" numFmtId="14" showAll="0">
      <items count="265">
        <item x="226"/>
        <item x="87"/>
        <item x="180"/>
        <item x="174"/>
        <item x="136"/>
        <item x="44"/>
        <item x="70"/>
        <item x="215"/>
        <item x="202"/>
        <item x="218"/>
        <item x="114"/>
        <item x="148"/>
        <item x="92"/>
        <item x="49"/>
        <item x="108"/>
        <item x="132"/>
        <item x="171"/>
        <item x="25"/>
        <item x="135"/>
        <item x="250"/>
        <item x="220"/>
        <item x="167"/>
        <item x="247"/>
        <item x="60"/>
        <item x="238"/>
        <item x="204"/>
        <item x="227"/>
        <item x="107"/>
        <item x="126"/>
        <item x="142"/>
        <item x="1"/>
        <item x="128"/>
        <item x="72"/>
        <item x="45"/>
        <item x="68"/>
        <item x="37"/>
        <item x="157"/>
        <item x="81"/>
        <item x="127"/>
        <item x="19"/>
        <item x="161"/>
        <item x="229"/>
        <item x="58"/>
        <item x="232"/>
        <item x="160"/>
        <item x="104"/>
        <item x="41"/>
        <item x="262"/>
        <item x="144"/>
        <item x="244"/>
        <item x="145"/>
        <item x="89"/>
        <item x="217"/>
        <item x="245"/>
        <item x="52"/>
        <item x="179"/>
        <item x="190"/>
        <item x="258"/>
        <item x="65"/>
        <item x="203"/>
        <item x="95"/>
        <item x="77"/>
        <item x="216"/>
        <item x="111"/>
        <item x="67"/>
        <item x="241"/>
        <item x="230"/>
        <item x="193"/>
        <item x="198"/>
        <item x="211"/>
        <item x="76"/>
        <item x="54"/>
        <item x="4"/>
        <item x="2"/>
        <item x="57"/>
        <item x="122"/>
        <item x="256"/>
        <item x="97"/>
        <item x="7"/>
        <item x="118"/>
        <item x="31"/>
        <item x="23"/>
        <item x="101"/>
        <item x="253"/>
        <item x="79"/>
        <item x="74"/>
        <item x="21"/>
        <item x="26"/>
        <item x="121"/>
        <item x="109"/>
        <item x="255"/>
        <item x="183"/>
        <item x="40"/>
        <item x="248"/>
        <item x="200"/>
        <item x="206"/>
        <item x="10"/>
        <item x="133"/>
        <item x="252"/>
        <item x="47"/>
        <item x="141"/>
        <item x="260"/>
        <item x="84"/>
        <item x="6"/>
        <item x="112"/>
        <item x="16"/>
        <item x="197"/>
        <item x="119"/>
        <item x="90"/>
        <item x="46"/>
        <item x="18"/>
        <item x="249"/>
        <item x="125"/>
        <item x="11"/>
        <item x="240"/>
        <item x="158"/>
        <item x="94"/>
        <item x="91"/>
        <item x="131"/>
        <item x="169"/>
        <item x="120"/>
        <item x="50"/>
        <item x="224"/>
        <item x="137"/>
        <item x="168"/>
        <item x="38"/>
        <item x="5"/>
        <item x="192"/>
        <item x="35"/>
        <item x="130"/>
        <item x="153"/>
        <item x="261"/>
        <item x="83"/>
        <item x="143"/>
        <item x="42"/>
        <item x="236"/>
        <item x="199"/>
        <item x="28"/>
        <item x="102"/>
        <item x="243"/>
        <item x="151"/>
        <item x="62"/>
        <item x="210"/>
        <item x="33"/>
        <item x="223"/>
        <item x="13"/>
        <item x="86"/>
        <item x="51"/>
        <item x="185"/>
        <item x="24"/>
        <item x="162"/>
        <item x="124"/>
        <item x="115"/>
        <item x="263"/>
        <item x="207"/>
        <item x="155"/>
        <item x="53"/>
        <item x="48"/>
        <item x="93"/>
        <item x="59"/>
        <item x="110"/>
        <item x="156"/>
        <item x="187"/>
        <item x="189"/>
        <item x="172"/>
        <item x="259"/>
        <item x="231"/>
        <item x="213"/>
        <item x="34"/>
        <item x="27"/>
        <item x="191"/>
        <item x="163"/>
        <item x="15"/>
        <item x="138"/>
        <item x="188"/>
        <item x="175"/>
        <item x="55"/>
        <item x="85"/>
        <item x="147"/>
        <item x="82"/>
        <item x="63"/>
        <item x="106"/>
        <item x="246"/>
        <item x="237"/>
        <item x="196"/>
        <item x="254"/>
        <item x="234"/>
        <item x="257"/>
        <item x="146"/>
        <item x="123"/>
        <item x="99"/>
        <item x="219"/>
        <item x="152"/>
        <item x="154"/>
        <item x="195"/>
        <item x="73"/>
        <item x="233"/>
        <item x="150"/>
        <item x="17"/>
        <item x="71"/>
        <item x="64"/>
        <item x="117"/>
        <item x="100"/>
        <item x="66"/>
        <item x="181"/>
        <item x="166"/>
        <item x="80"/>
        <item x="98"/>
        <item x="205"/>
        <item x="29"/>
        <item x="178"/>
        <item x="43"/>
        <item x="201"/>
        <item x="182"/>
        <item x="221"/>
        <item x="194"/>
        <item x="30"/>
        <item x="32"/>
        <item x="61"/>
        <item x="242"/>
        <item x="3"/>
        <item x="103"/>
        <item x="139"/>
        <item x="170"/>
        <item x="212"/>
        <item x="69"/>
        <item x="96"/>
        <item x="75"/>
        <item x="173"/>
        <item x="149"/>
        <item x="208"/>
        <item x="209"/>
        <item x="105"/>
        <item x="225"/>
        <item x="14"/>
        <item x="176"/>
        <item x="39"/>
        <item x="8"/>
        <item x="0"/>
        <item x="165"/>
        <item x="12"/>
        <item x="140"/>
        <item x="214"/>
        <item x="228"/>
        <item x="184"/>
        <item x="222"/>
        <item x="129"/>
        <item x="164"/>
        <item x="239"/>
        <item x="235"/>
        <item x="116"/>
        <item x="134"/>
        <item x="9"/>
        <item x="113"/>
        <item x="251"/>
        <item x="20"/>
        <item x="56"/>
        <item x="177"/>
        <item x="186"/>
        <item x="36"/>
        <item x="88"/>
        <item x="22"/>
        <item x="159"/>
        <item x="78"/>
        <item t="default"/>
      </items>
    </pivotField>
    <pivotField showAll="0"/>
    <pivotField showAll="0"/>
    <pivotField showAll="0">
      <items count="9">
        <item x="7"/>
        <item x="3"/>
        <item x="2"/>
        <item x="6"/>
        <item x="5"/>
        <item x="0"/>
        <item x="4"/>
        <item x="1"/>
        <item t="default"/>
      </items>
    </pivotField>
    <pivotField showAll="0">
      <items count="5">
        <item x="3"/>
        <item x="2"/>
        <item x="1"/>
        <item x="0"/>
        <item t="default"/>
      </items>
    </pivotField>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1"/>
  </rowFields>
  <rowItems count="13">
    <i>
      <x v="1"/>
    </i>
    <i>
      <x v="2"/>
    </i>
    <i>
      <x v="3"/>
    </i>
    <i>
      <x v="4"/>
    </i>
    <i>
      <x v="5"/>
    </i>
    <i>
      <x v="6"/>
    </i>
    <i>
      <x v="7"/>
    </i>
    <i>
      <x v="8"/>
    </i>
    <i>
      <x v="9"/>
    </i>
    <i>
      <x v="10"/>
    </i>
    <i>
      <x v="11"/>
    </i>
    <i>
      <x v="12"/>
    </i>
    <i t="grand">
      <x/>
    </i>
  </rowItems>
  <colItems count="1">
    <i/>
  </colItems>
  <dataFields count="1">
    <dataField name="Sum of Revenue_USD" fld="9" baseField="11" baseItem="1"/>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FDA2FB-DB13-40ED-8039-35C77B1AF7FA}"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4">
  <location ref="S53:T62" firstHeaderRow="1" firstDataRow="1" firstDataCol="1"/>
  <pivotFields count="12">
    <pivotField showAll="0"/>
    <pivotField numFmtId="14" showAll="0">
      <items count="265">
        <item x="226"/>
        <item x="87"/>
        <item x="180"/>
        <item x="174"/>
        <item x="136"/>
        <item x="44"/>
        <item x="70"/>
        <item x="215"/>
        <item x="202"/>
        <item x="218"/>
        <item x="114"/>
        <item x="148"/>
        <item x="92"/>
        <item x="49"/>
        <item x="108"/>
        <item x="132"/>
        <item x="171"/>
        <item x="25"/>
        <item x="135"/>
        <item x="250"/>
        <item x="220"/>
        <item x="167"/>
        <item x="247"/>
        <item x="60"/>
        <item x="238"/>
        <item x="204"/>
        <item x="227"/>
        <item x="107"/>
        <item x="126"/>
        <item x="142"/>
        <item x="1"/>
        <item x="128"/>
        <item x="72"/>
        <item x="45"/>
        <item x="68"/>
        <item x="37"/>
        <item x="157"/>
        <item x="81"/>
        <item x="127"/>
        <item x="19"/>
        <item x="161"/>
        <item x="229"/>
        <item x="58"/>
        <item x="232"/>
        <item x="160"/>
        <item x="104"/>
        <item x="41"/>
        <item x="262"/>
        <item x="144"/>
        <item x="244"/>
        <item x="145"/>
        <item x="89"/>
        <item x="217"/>
        <item x="245"/>
        <item x="52"/>
        <item x="179"/>
        <item x="190"/>
        <item x="258"/>
        <item x="65"/>
        <item x="203"/>
        <item x="95"/>
        <item x="77"/>
        <item x="216"/>
        <item x="111"/>
        <item x="67"/>
        <item x="241"/>
        <item x="230"/>
        <item x="193"/>
        <item x="198"/>
        <item x="211"/>
        <item x="76"/>
        <item x="54"/>
        <item x="4"/>
        <item x="2"/>
        <item x="57"/>
        <item x="122"/>
        <item x="256"/>
        <item x="97"/>
        <item x="7"/>
        <item x="118"/>
        <item x="31"/>
        <item x="23"/>
        <item x="101"/>
        <item x="253"/>
        <item x="79"/>
        <item x="74"/>
        <item x="21"/>
        <item x="26"/>
        <item x="121"/>
        <item x="109"/>
        <item x="255"/>
        <item x="183"/>
        <item x="40"/>
        <item x="248"/>
        <item x="200"/>
        <item x="206"/>
        <item x="10"/>
        <item x="133"/>
        <item x="252"/>
        <item x="47"/>
        <item x="141"/>
        <item x="260"/>
        <item x="84"/>
        <item x="6"/>
        <item x="112"/>
        <item x="16"/>
        <item x="197"/>
        <item x="119"/>
        <item x="90"/>
        <item x="46"/>
        <item x="18"/>
        <item x="249"/>
        <item x="125"/>
        <item x="11"/>
        <item x="240"/>
        <item x="158"/>
        <item x="94"/>
        <item x="91"/>
        <item x="131"/>
        <item x="169"/>
        <item x="120"/>
        <item x="50"/>
        <item x="224"/>
        <item x="137"/>
        <item x="168"/>
        <item x="38"/>
        <item x="5"/>
        <item x="192"/>
        <item x="35"/>
        <item x="130"/>
        <item x="153"/>
        <item x="261"/>
        <item x="83"/>
        <item x="143"/>
        <item x="42"/>
        <item x="236"/>
        <item x="199"/>
        <item x="28"/>
        <item x="102"/>
        <item x="243"/>
        <item x="151"/>
        <item x="62"/>
        <item x="210"/>
        <item x="33"/>
        <item x="223"/>
        <item x="13"/>
        <item x="86"/>
        <item x="51"/>
        <item x="185"/>
        <item x="24"/>
        <item x="162"/>
        <item x="124"/>
        <item x="115"/>
        <item x="263"/>
        <item x="207"/>
        <item x="155"/>
        <item x="53"/>
        <item x="48"/>
        <item x="93"/>
        <item x="59"/>
        <item x="110"/>
        <item x="156"/>
        <item x="187"/>
        <item x="189"/>
        <item x="172"/>
        <item x="259"/>
        <item x="231"/>
        <item x="213"/>
        <item x="34"/>
        <item x="27"/>
        <item x="191"/>
        <item x="163"/>
        <item x="15"/>
        <item x="138"/>
        <item x="188"/>
        <item x="175"/>
        <item x="55"/>
        <item x="85"/>
        <item x="147"/>
        <item x="82"/>
        <item x="63"/>
        <item x="106"/>
        <item x="246"/>
        <item x="237"/>
        <item x="196"/>
        <item x="254"/>
        <item x="234"/>
        <item x="257"/>
        <item x="146"/>
        <item x="123"/>
        <item x="99"/>
        <item x="219"/>
        <item x="152"/>
        <item x="154"/>
        <item x="195"/>
        <item x="73"/>
        <item x="233"/>
        <item x="150"/>
        <item x="17"/>
        <item x="71"/>
        <item x="64"/>
        <item x="117"/>
        <item x="100"/>
        <item x="66"/>
        <item x="181"/>
        <item x="166"/>
        <item x="80"/>
        <item x="98"/>
        <item x="205"/>
        <item x="29"/>
        <item x="178"/>
        <item x="43"/>
        <item x="201"/>
        <item x="182"/>
        <item x="221"/>
        <item x="194"/>
        <item x="30"/>
        <item x="32"/>
        <item x="61"/>
        <item x="242"/>
        <item x="3"/>
        <item x="103"/>
        <item x="139"/>
        <item x="170"/>
        <item x="212"/>
        <item x="69"/>
        <item x="96"/>
        <item x="75"/>
        <item x="173"/>
        <item x="149"/>
        <item x="208"/>
        <item x="209"/>
        <item x="105"/>
        <item x="225"/>
        <item x="14"/>
        <item x="176"/>
        <item x="39"/>
        <item x="8"/>
        <item x="0"/>
        <item x="165"/>
        <item x="12"/>
        <item x="140"/>
        <item x="214"/>
        <item x="228"/>
        <item x="184"/>
        <item x="222"/>
        <item x="129"/>
        <item x="164"/>
        <item x="239"/>
        <item x="235"/>
        <item x="116"/>
        <item x="134"/>
        <item x="9"/>
        <item x="113"/>
        <item x="251"/>
        <item x="20"/>
        <item x="56"/>
        <item x="177"/>
        <item x="186"/>
        <item x="36"/>
        <item x="88"/>
        <item x="22"/>
        <item x="159"/>
        <item x="78"/>
        <item t="default"/>
      </items>
    </pivotField>
    <pivotField showAll="0">
      <items count="9">
        <item x="5"/>
        <item x="4"/>
        <item x="0"/>
        <item x="6"/>
        <item x="1"/>
        <item x="3"/>
        <item x="2"/>
        <item x="7"/>
        <item t="default"/>
      </items>
    </pivotField>
    <pivotField axis="axisRow" showAll="0">
      <items count="9">
        <item x="4"/>
        <item x="3"/>
        <item x="0"/>
        <item x="6"/>
        <item x="7"/>
        <item x="1"/>
        <item x="2"/>
        <item x="5"/>
        <item t="default"/>
      </items>
    </pivotField>
    <pivotField showAll="0">
      <items count="9">
        <item x="7"/>
        <item x="3"/>
        <item x="2"/>
        <item x="6"/>
        <item x="5"/>
        <item x="0"/>
        <item x="4"/>
        <item x="1"/>
        <item t="default"/>
      </items>
    </pivotField>
    <pivotField showAll="0">
      <items count="5">
        <item x="3"/>
        <item x="2"/>
        <item x="1"/>
        <item x="0"/>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9">
    <i>
      <x/>
    </i>
    <i>
      <x v="1"/>
    </i>
    <i>
      <x v="2"/>
    </i>
    <i>
      <x v="3"/>
    </i>
    <i>
      <x v="4"/>
    </i>
    <i>
      <x v="5"/>
    </i>
    <i>
      <x v="6"/>
    </i>
    <i>
      <x v="7"/>
    </i>
    <i t="grand">
      <x/>
    </i>
  </rowItems>
  <colItems count="1">
    <i/>
  </colItems>
  <dataFields count="1">
    <dataField name="Sum of Revenue_USD" fld="9" baseField="0" baseItem="0"/>
  </dataFields>
  <chartFormats count="18">
    <chartFormat chart="38" format="0" series="1">
      <pivotArea type="data" outline="0" fieldPosition="0">
        <references count="1">
          <reference field="4294967294" count="1" selected="0">
            <x v="0"/>
          </reference>
        </references>
      </pivotArea>
    </chartFormat>
    <chartFormat chart="41" format="10" series="1">
      <pivotArea type="data" outline="0" fieldPosition="0">
        <references count="1">
          <reference field="4294967294" count="1" selected="0">
            <x v="0"/>
          </reference>
        </references>
      </pivotArea>
    </chartFormat>
    <chartFormat chart="41" format="11">
      <pivotArea type="data" outline="0" fieldPosition="0">
        <references count="2">
          <reference field="4294967294" count="1" selected="0">
            <x v="0"/>
          </reference>
          <reference field="3" count="1" selected="0">
            <x v="0"/>
          </reference>
        </references>
      </pivotArea>
    </chartFormat>
    <chartFormat chart="41" format="12">
      <pivotArea type="data" outline="0" fieldPosition="0">
        <references count="2">
          <reference field="4294967294" count="1" selected="0">
            <x v="0"/>
          </reference>
          <reference field="3" count="1" selected="0">
            <x v="1"/>
          </reference>
        </references>
      </pivotArea>
    </chartFormat>
    <chartFormat chart="41" format="13">
      <pivotArea type="data" outline="0" fieldPosition="0">
        <references count="2">
          <reference field="4294967294" count="1" selected="0">
            <x v="0"/>
          </reference>
          <reference field="3" count="1" selected="0">
            <x v="2"/>
          </reference>
        </references>
      </pivotArea>
    </chartFormat>
    <chartFormat chart="41" format="14">
      <pivotArea type="data" outline="0" fieldPosition="0">
        <references count="2">
          <reference field="4294967294" count="1" selected="0">
            <x v="0"/>
          </reference>
          <reference field="3" count="1" selected="0">
            <x v="3"/>
          </reference>
        </references>
      </pivotArea>
    </chartFormat>
    <chartFormat chart="41" format="15">
      <pivotArea type="data" outline="0" fieldPosition="0">
        <references count="2">
          <reference field="4294967294" count="1" selected="0">
            <x v="0"/>
          </reference>
          <reference field="3" count="1" selected="0">
            <x v="4"/>
          </reference>
        </references>
      </pivotArea>
    </chartFormat>
    <chartFormat chart="41" format="16">
      <pivotArea type="data" outline="0" fieldPosition="0">
        <references count="2">
          <reference field="4294967294" count="1" selected="0">
            <x v="0"/>
          </reference>
          <reference field="3" count="1" selected="0">
            <x v="5"/>
          </reference>
        </references>
      </pivotArea>
    </chartFormat>
    <chartFormat chart="41" format="17">
      <pivotArea type="data" outline="0" fieldPosition="0">
        <references count="2">
          <reference field="4294967294" count="1" selected="0">
            <x v="0"/>
          </reference>
          <reference field="3" count="1" selected="0">
            <x v="6"/>
          </reference>
        </references>
      </pivotArea>
    </chartFormat>
    <chartFormat chart="41" format="18">
      <pivotArea type="data" outline="0" fieldPosition="0">
        <references count="2">
          <reference field="4294967294" count="1" selected="0">
            <x v="0"/>
          </reference>
          <reference field="3" count="1" selected="0">
            <x v="7"/>
          </reference>
        </references>
      </pivotArea>
    </chartFormat>
    <chartFormat chart="38" format="1">
      <pivotArea type="data" outline="0" fieldPosition="0">
        <references count="2">
          <reference field="4294967294" count="1" selected="0">
            <x v="0"/>
          </reference>
          <reference field="3" count="1" selected="0">
            <x v="0"/>
          </reference>
        </references>
      </pivotArea>
    </chartFormat>
    <chartFormat chart="38" format="2">
      <pivotArea type="data" outline="0" fieldPosition="0">
        <references count="2">
          <reference field="4294967294" count="1" selected="0">
            <x v="0"/>
          </reference>
          <reference field="3" count="1" selected="0">
            <x v="1"/>
          </reference>
        </references>
      </pivotArea>
    </chartFormat>
    <chartFormat chart="38" format="3">
      <pivotArea type="data" outline="0" fieldPosition="0">
        <references count="2">
          <reference field="4294967294" count="1" selected="0">
            <x v="0"/>
          </reference>
          <reference field="3" count="1" selected="0">
            <x v="2"/>
          </reference>
        </references>
      </pivotArea>
    </chartFormat>
    <chartFormat chart="38" format="4">
      <pivotArea type="data" outline="0" fieldPosition="0">
        <references count="2">
          <reference field="4294967294" count="1" selected="0">
            <x v="0"/>
          </reference>
          <reference field="3" count="1" selected="0">
            <x v="3"/>
          </reference>
        </references>
      </pivotArea>
    </chartFormat>
    <chartFormat chart="38" format="5">
      <pivotArea type="data" outline="0" fieldPosition="0">
        <references count="2">
          <reference field="4294967294" count="1" selected="0">
            <x v="0"/>
          </reference>
          <reference field="3" count="1" selected="0">
            <x v="4"/>
          </reference>
        </references>
      </pivotArea>
    </chartFormat>
    <chartFormat chart="38" format="6">
      <pivotArea type="data" outline="0" fieldPosition="0">
        <references count="2">
          <reference field="4294967294" count="1" selected="0">
            <x v="0"/>
          </reference>
          <reference field="3" count="1" selected="0">
            <x v="5"/>
          </reference>
        </references>
      </pivotArea>
    </chartFormat>
    <chartFormat chart="38" format="7">
      <pivotArea type="data" outline="0" fieldPosition="0">
        <references count="2">
          <reference field="4294967294" count="1" selected="0">
            <x v="0"/>
          </reference>
          <reference field="3" count="1" selected="0">
            <x v="6"/>
          </reference>
        </references>
      </pivotArea>
    </chartFormat>
    <chartFormat chart="38" format="8">
      <pivotArea type="data" outline="0" fieldPosition="0">
        <references count="2">
          <reference field="4294967294" count="1" selected="0">
            <x v="0"/>
          </reference>
          <reference field="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FDEAAE-1D00-4856-8885-4128E169D5CB}"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AB11:AB12" firstHeaderRow="1" firstDataRow="1" firstDataCol="0"/>
  <pivotFields count="12">
    <pivotField dataField="1" showAll="0"/>
    <pivotField numFmtId="14" showAll="0">
      <items count="265">
        <item x="226"/>
        <item x="87"/>
        <item x="180"/>
        <item x="174"/>
        <item x="136"/>
        <item x="44"/>
        <item x="70"/>
        <item x="215"/>
        <item x="202"/>
        <item x="218"/>
        <item x="114"/>
        <item x="148"/>
        <item x="92"/>
        <item x="49"/>
        <item x="108"/>
        <item x="132"/>
        <item x="171"/>
        <item x="25"/>
        <item x="135"/>
        <item x="250"/>
        <item x="220"/>
        <item x="167"/>
        <item x="247"/>
        <item x="60"/>
        <item x="238"/>
        <item x="204"/>
        <item x="227"/>
        <item x="107"/>
        <item x="126"/>
        <item x="142"/>
        <item x="1"/>
        <item x="128"/>
        <item x="72"/>
        <item x="45"/>
        <item x="68"/>
        <item x="37"/>
        <item x="157"/>
        <item x="81"/>
        <item x="127"/>
        <item x="19"/>
        <item x="161"/>
        <item x="229"/>
        <item x="58"/>
        <item x="232"/>
        <item x="160"/>
        <item x="104"/>
        <item x="41"/>
        <item x="262"/>
        <item x="144"/>
        <item x="244"/>
        <item x="145"/>
        <item x="89"/>
        <item x="217"/>
        <item x="245"/>
        <item x="52"/>
        <item x="179"/>
        <item x="190"/>
        <item x="258"/>
        <item x="65"/>
        <item x="203"/>
        <item x="95"/>
        <item x="77"/>
        <item x="216"/>
        <item x="111"/>
        <item x="67"/>
        <item x="241"/>
        <item x="230"/>
        <item x="193"/>
        <item x="198"/>
        <item x="211"/>
        <item x="76"/>
        <item x="54"/>
        <item x="4"/>
        <item x="2"/>
        <item x="57"/>
        <item x="122"/>
        <item x="256"/>
        <item x="97"/>
        <item x="7"/>
        <item x="118"/>
        <item x="31"/>
        <item x="23"/>
        <item x="101"/>
        <item x="253"/>
        <item x="79"/>
        <item x="74"/>
        <item x="21"/>
        <item x="26"/>
        <item x="121"/>
        <item x="109"/>
        <item x="255"/>
        <item x="183"/>
        <item x="40"/>
        <item x="248"/>
        <item x="200"/>
        <item x="206"/>
        <item x="10"/>
        <item x="133"/>
        <item x="252"/>
        <item x="47"/>
        <item x="141"/>
        <item x="260"/>
        <item x="84"/>
        <item x="6"/>
        <item x="112"/>
        <item x="16"/>
        <item x="197"/>
        <item x="119"/>
        <item x="90"/>
        <item x="46"/>
        <item x="18"/>
        <item x="249"/>
        <item x="125"/>
        <item x="11"/>
        <item x="240"/>
        <item x="158"/>
        <item x="94"/>
        <item x="91"/>
        <item x="131"/>
        <item x="169"/>
        <item x="120"/>
        <item x="50"/>
        <item x="224"/>
        <item x="137"/>
        <item x="168"/>
        <item x="38"/>
        <item x="5"/>
        <item x="192"/>
        <item x="35"/>
        <item x="130"/>
        <item x="153"/>
        <item x="261"/>
        <item x="83"/>
        <item x="143"/>
        <item x="42"/>
        <item x="236"/>
        <item x="199"/>
        <item x="28"/>
        <item x="102"/>
        <item x="243"/>
        <item x="151"/>
        <item x="62"/>
        <item x="210"/>
        <item x="33"/>
        <item x="223"/>
        <item x="13"/>
        <item x="86"/>
        <item x="51"/>
        <item x="185"/>
        <item x="24"/>
        <item x="162"/>
        <item x="124"/>
        <item x="115"/>
        <item x="263"/>
        <item x="207"/>
        <item x="155"/>
        <item x="53"/>
        <item x="48"/>
        <item x="93"/>
        <item x="59"/>
        <item x="110"/>
        <item x="156"/>
        <item x="187"/>
        <item x="189"/>
        <item x="172"/>
        <item x="259"/>
        <item x="231"/>
        <item x="213"/>
        <item x="34"/>
        <item x="27"/>
        <item x="191"/>
        <item x="163"/>
        <item x="15"/>
        <item x="138"/>
        <item x="188"/>
        <item x="175"/>
        <item x="55"/>
        <item x="85"/>
        <item x="147"/>
        <item x="82"/>
        <item x="63"/>
        <item x="106"/>
        <item x="246"/>
        <item x="237"/>
        <item x="196"/>
        <item x="254"/>
        <item x="234"/>
        <item x="257"/>
        <item x="146"/>
        <item x="123"/>
        <item x="99"/>
        <item x="219"/>
        <item x="152"/>
        <item x="154"/>
        <item x="195"/>
        <item x="73"/>
        <item x="233"/>
        <item x="150"/>
        <item x="17"/>
        <item x="71"/>
        <item x="64"/>
        <item x="117"/>
        <item x="100"/>
        <item x="66"/>
        <item x="181"/>
        <item x="166"/>
        <item x="80"/>
        <item x="98"/>
        <item x="205"/>
        <item x="29"/>
        <item x="178"/>
        <item x="43"/>
        <item x="201"/>
        <item x="182"/>
        <item x="221"/>
        <item x="194"/>
        <item x="30"/>
        <item x="32"/>
        <item x="61"/>
        <item x="242"/>
        <item x="3"/>
        <item x="103"/>
        <item x="139"/>
        <item x="170"/>
        <item x="212"/>
        <item x="69"/>
        <item x="96"/>
        <item x="75"/>
        <item x="173"/>
        <item x="149"/>
        <item x="208"/>
        <item x="209"/>
        <item x="105"/>
        <item x="225"/>
        <item x="14"/>
        <item x="176"/>
        <item x="39"/>
        <item x="8"/>
        <item x="0"/>
        <item x="165"/>
        <item x="12"/>
        <item x="140"/>
        <item x="214"/>
        <item x="228"/>
        <item x="184"/>
        <item x="222"/>
        <item x="129"/>
        <item x="164"/>
        <item x="239"/>
        <item x="235"/>
        <item x="116"/>
        <item x="134"/>
        <item x="9"/>
        <item x="113"/>
        <item x="251"/>
        <item x="20"/>
        <item x="56"/>
        <item x="177"/>
        <item x="186"/>
        <item x="36"/>
        <item x="88"/>
        <item x="22"/>
        <item x="159"/>
        <item x="78"/>
        <item t="default"/>
      </items>
    </pivotField>
    <pivotField showAll="0">
      <items count="9">
        <item x="5"/>
        <item x="4"/>
        <item x="0"/>
        <item x="6"/>
        <item x="1"/>
        <item x="3"/>
        <item x="2"/>
        <item x="7"/>
        <item t="default"/>
      </items>
    </pivotField>
    <pivotField showAll="0">
      <items count="9">
        <item x="4"/>
        <item x="3"/>
        <item x="0"/>
        <item x="6"/>
        <item x="7"/>
        <item x="1"/>
        <item x="2"/>
        <item x="5"/>
        <item t="default"/>
      </items>
    </pivotField>
    <pivotField showAll="0">
      <items count="9">
        <item x="7"/>
        <item x="3"/>
        <item x="2"/>
        <item x="6"/>
        <item x="5"/>
        <item x="0"/>
        <item x="4"/>
        <item x="1"/>
        <item t="default"/>
      </items>
    </pivotField>
    <pivotField showAll="0">
      <items count="5">
        <item x="3"/>
        <item x="2"/>
        <item x="1"/>
        <item x="0"/>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Sal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2BBEAD-B7E9-4C29-AC7C-B33ED65A268E}"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3">
  <location ref="U7:V16" firstHeaderRow="1" firstDataRow="1" firstDataCol="1"/>
  <pivotFields count="12">
    <pivotField showAll="0"/>
    <pivotField numFmtId="14" showAll="0">
      <items count="265">
        <item x="226"/>
        <item x="87"/>
        <item x="180"/>
        <item x="174"/>
        <item x="136"/>
        <item x="44"/>
        <item x="70"/>
        <item x="215"/>
        <item x="202"/>
        <item x="218"/>
        <item x="114"/>
        <item x="148"/>
        <item x="92"/>
        <item x="49"/>
        <item x="108"/>
        <item x="132"/>
        <item x="171"/>
        <item x="25"/>
        <item x="135"/>
        <item x="250"/>
        <item x="220"/>
        <item x="167"/>
        <item x="247"/>
        <item x="60"/>
        <item x="238"/>
        <item x="204"/>
        <item x="227"/>
        <item x="107"/>
        <item x="126"/>
        <item x="142"/>
        <item x="1"/>
        <item x="128"/>
        <item x="72"/>
        <item x="45"/>
        <item x="68"/>
        <item x="37"/>
        <item x="157"/>
        <item x="81"/>
        <item x="127"/>
        <item x="19"/>
        <item x="161"/>
        <item x="229"/>
        <item x="58"/>
        <item x="232"/>
        <item x="160"/>
        <item x="104"/>
        <item x="41"/>
        <item x="262"/>
        <item x="144"/>
        <item x="244"/>
        <item x="145"/>
        <item x="89"/>
        <item x="217"/>
        <item x="245"/>
        <item x="52"/>
        <item x="179"/>
        <item x="190"/>
        <item x="258"/>
        <item x="65"/>
        <item x="203"/>
        <item x="95"/>
        <item x="77"/>
        <item x="216"/>
        <item x="111"/>
        <item x="67"/>
        <item x="241"/>
        <item x="230"/>
        <item x="193"/>
        <item x="198"/>
        <item x="211"/>
        <item x="76"/>
        <item x="54"/>
        <item x="4"/>
        <item x="2"/>
        <item x="57"/>
        <item x="122"/>
        <item x="256"/>
        <item x="97"/>
        <item x="7"/>
        <item x="118"/>
        <item x="31"/>
        <item x="23"/>
        <item x="101"/>
        <item x="253"/>
        <item x="79"/>
        <item x="74"/>
        <item x="21"/>
        <item x="26"/>
        <item x="121"/>
        <item x="109"/>
        <item x="255"/>
        <item x="183"/>
        <item x="40"/>
        <item x="248"/>
        <item x="200"/>
        <item x="206"/>
        <item x="10"/>
        <item x="133"/>
        <item x="252"/>
        <item x="47"/>
        <item x="141"/>
        <item x="260"/>
        <item x="84"/>
        <item x="6"/>
        <item x="112"/>
        <item x="16"/>
        <item x="197"/>
        <item x="119"/>
        <item x="90"/>
        <item x="46"/>
        <item x="18"/>
        <item x="249"/>
        <item x="125"/>
        <item x="11"/>
        <item x="240"/>
        <item x="158"/>
        <item x="94"/>
        <item x="91"/>
        <item x="131"/>
        <item x="169"/>
        <item x="120"/>
        <item x="50"/>
        <item x="224"/>
        <item x="137"/>
        <item x="168"/>
        <item x="38"/>
        <item x="5"/>
        <item x="192"/>
        <item x="35"/>
        <item x="130"/>
        <item x="153"/>
        <item x="261"/>
        <item x="83"/>
        <item x="143"/>
        <item x="42"/>
        <item x="236"/>
        <item x="199"/>
        <item x="28"/>
        <item x="102"/>
        <item x="243"/>
        <item x="151"/>
        <item x="62"/>
        <item x="210"/>
        <item x="33"/>
        <item x="223"/>
        <item x="13"/>
        <item x="86"/>
        <item x="51"/>
        <item x="185"/>
        <item x="24"/>
        <item x="162"/>
        <item x="124"/>
        <item x="115"/>
        <item x="263"/>
        <item x="207"/>
        <item x="155"/>
        <item x="53"/>
        <item x="48"/>
        <item x="93"/>
        <item x="59"/>
        <item x="110"/>
        <item x="156"/>
        <item x="187"/>
        <item x="189"/>
        <item x="172"/>
        <item x="259"/>
        <item x="231"/>
        <item x="213"/>
        <item x="34"/>
        <item x="27"/>
        <item x="191"/>
        <item x="163"/>
        <item x="15"/>
        <item x="138"/>
        <item x="188"/>
        <item x="175"/>
        <item x="55"/>
        <item x="85"/>
        <item x="147"/>
        <item x="82"/>
        <item x="63"/>
        <item x="106"/>
        <item x="246"/>
        <item x="237"/>
        <item x="196"/>
        <item x="254"/>
        <item x="234"/>
        <item x="257"/>
        <item x="146"/>
        <item x="123"/>
        <item x="99"/>
        <item x="219"/>
        <item x="152"/>
        <item x="154"/>
        <item x="195"/>
        <item x="73"/>
        <item x="233"/>
        <item x="150"/>
        <item x="17"/>
        <item x="71"/>
        <item x="64"/>
        <item x="117"/>
        <item x="100"/>
        <item x="66"/>
        <item x="181"/>
        <item x="166"/>
        <item x="80"/>
        <item x="98"/>
        <item x="205"/>
        <item x="29"/>
        <item x="178"/>
        <item x="43"/>
        <item x="201"/>
        <item x="182"/>
        <item x="221"/>
        <item x="194"/>
        <item x="30"/>
        <item x="32"/>
        <item x="61"/>
        <item x="242"/>
        <item x="3"/>
        <item x="103"/>
        <item x="139"/>
        <item x="170"/>
        <item x="212"/>
        <item x="69"/>
        <item x="96"/>
        <item x="75"/>
        <item x="173"/>
        <item x="149"/>
        <item x="208"/>
        <item x="209"/>
        <item x="105"/>
        <item x="225"/>
        <item x="14"/>
        <item x="176"/>
        <item x="39"/>
        <item x="8"/>
        <item x="0"/>
        <item x="165"/>
        <item x="12"/>
        <item x="140"/>
        <item x="214"/>
        <item x="228"/>
        <item x="184"/>
        <item x="222"/>
        <item x="129"/>
        <item x="164"/>
        <item x="239"/>
        <item x="235"/>
        <item x="116"/>
        <item x="134"/>
        <item x="9"/>
        <item x="113"/>
        <item x="251"/>
        <item x="20"/>
        <item x="56"/>
        <item x="177"/>
        <item x="186"/>
        <item x="36"/>
        <item x="88"/>
        <item x="22"/>
        <item x="159"/>
        <item x="78"/>
        <item t="default"/>
      </items>
    </pivotField>
    <pivotField showAll="0">
      <items count="9">
        <item x="5"/>
        <item x="4"/>
        <item x="0"/>
        <item x="6"/>
        <item x="1"/>
        <item x="3"/>
        <item x="2"/>
        <item x="7"/>
        <item t="default"/>
      </items>
    </pivotField>
    <pivotField showAll="0">
      <items count="9">
        <item x="4"/>
        <item x="3"/>
        <item x="0"/>
        <item x="6"/>
        <item x="7"/>
        <item x="1"/>
        <item x="2"/>
        <item x="5"/>
        <item t="default"/>
      </items>
    </pivotField>
    <pivotField axis="axisRow" showAll="0">
      <items count="9">
        <item x="7"/>
        <item x="3"/>
        <item x="2"/>
        <item x="6"/>
        <item x="5"/>
        <item x="0"/>
        <item x="4"/>
        <item x="1"/>
        <item t="default"/>
      </items>
    </pivotField>
    <pivotField showAll="0">
      <items count="5">
        <item x="3"/>
        <item x="2"/>
        <item x="1"/>
        <item x="0"/>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9">
    <i>
      <x/>
    </i>
    <i>
      <x v="1"/>
    </i>
    <i>
      <x v="2"/>
    </i>
    <i>
      <x v="3"/>
    </i>
    <i>
      <x v="4"/>
    </i>
    <i>
      <x v="5"/>
    </i>
    <i>
      <x v="6"/>
    </i>
    <i>
      <x v="7"/>
    </i>
    <i t="grand">
      <x/>
    </i>
  </rowItems>
  <colItems count="1">
    <i/>
  </colItems>
  <dataFields count="1">
    <dataField name="Sum of Revenue_USD" fld="9" baseField="0" baseItem="0"/>
  </dataFields>
  <chartFormats count="8">
    <chartFormat chart="15" format="0" series="1">
      <pivotArea type="data" outline="0" fieldPosition="0">
        <references count="1">
          <reference field="4294967294" count="1" selected="0">
            <x v="0"/>
          </reference>
        </references>
      </pivotArea>
    </chartFormat>
    <chartFormat chart="18" format="19"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86A06F2-5CFE-4156-AE6B-F4544D204A31}"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1">
  <location ref="G84:H93" firstHeaderRow="1" firstDataRow="1" firstDataCol="1"/>
  <pivotFields count="12">
    <pivotField showAll="0"/>
    <pivotField numFmtId="14" showAll="0">
      <items count="265">
        <item x="226"/>
        <item x="87"/>
        <item x="180"/>
        <item x="174"/>
        <item x="136"/>
        <item x="44"/>
        <item x="70"/>
        <item x="215"/>
        <item x="202"/>
        <item x="218"/>
        <item x="114"/>
        <item x="148"/>
        <item x="92"/>
        <item x="49"/>
        <item x="108"/>
        <item x="132"/>
        <item x="171"/>
        <item x="25"/>
        <item x="135"/>
        <item x="250"/>
        <item x="220"/>
        <item x="167"/>
        <item x="247"/>
        <item x="60"/>
        <item x="238"/>
        <item x="204"/>
        <item x="227"/>
        <item x="107"/>
        <item x="126"/>
        <item x="142"/>
        <item x="1"/>
        <item x="128"/>
        <item x="72"/>
        <item x="45"/>
        <item x="68"/>
        <item x="37"/>
        <item x="157"/>
        <item x="81"/>
        <item x="127"/>
        <item x="19"/>
        <item x="161"/>
        <item x="229"/>
        <item x="58"/>
        <item x="232"/>
        <item x="160"/>
        <item x="104"/>
        <item x="41"/>
        <item x="262"/>
        <item x="144"/>
        <item x="244"/>
        <item x="145"/>
        <item x="89"/>
        <item x="217"/>
        <item x="245"/>
        <item x="52"/>
        <item x="179"/>
        <item x="190"/>
        <item x="258"/>
        <item x="65"/>
        <item x="203"/>
        <item x="95"/>
        <item x="77"/>
        <item x="216"/>
        <item x="111"/>
        <item x="67"/>
        <item x="241"/>
        <item x="230"/>
        <item x="193"/>
        <item x="198"/>
        <item x="211"/>
        <item x="76"/>
        <item x="54"/>
        <item x="4"/>
        <item x="2"/>
        <item x="57"/>
        <item x="122"/>
        <item x="256"/>
        <item x="97"/>
        <item x="7"/>
        <item x="118"/>
        <item x="31"/>
        <item x="23"/>
        <item x="101"/>
        <item x="253"/>
        <item x="79"/>
        <item x="74"/>
        <item x="21"/>
        <item x="26"/>
        <item x="121"/>
        <item x="109"/>
        <item x="255"/>
        <item x="183"/>
        <item x="40"/>
        <item x="248"/>
        <item x="200"/>
        <item x="206"/>
        <item x="10"/>
        <item x="133"/>
        <item x="252"/>
        <item x="47"/>
        <item x="141"/>
        <item x="260"/>
        <item x="84"/>
        <item x="6"/>
        <item x="112"/>
        <item x="16"/>
        <item x="197"/>
        <item x="119"/>
        <item x="90"/>
        <item x="46"/>
        <item x="18"/>
        <item x="249"/>
        <item x="125"/>
        <item x="11"/>
        <item x="240"/>
        <item x="158"/>
        <item x="94"/>
        <item x="91"/>
        <item x="131"/>
        <item x="169"/>
        <item x="120"/>
        <item x="50"/>
        <item x="224"/>
        <item x="137"/>
        <item x="168"/>
        <item x="38"/>
        <item x="5"/>
        <item x="192"/>
        <item x="35"/>
        <item x="130"/>
        <item x="153"/>
        <item x="261"/>
        <item x="83"/>
        <item x="143"/>
        <item x="42"/>
        <item x="236"/>
        <item x="199"/>
        <item x="28"/>
        <item x="102"/>
        <item x="243"/>
        <item x="151"/>
        <item x="62"/>
        <item x="210"/>
        <item x="33"/>
        <item x="223"/>
        <item x="13"/>
        <item x="86"/>
        <item x="51"/>
        <item x="185"/>
        <item x="24"/>
        <item x="162"/>
        <item x="124"/>
        <item x="115"/>
        <item x="263"/>
        <item x="207"/>
        <item x="155"/>
        <item x="53"/>
        <item x="48"/>
        <item x="93"/>
        <item x="59"/>
        <item x="110"/>
        <item x="156"/>
        <item x="187"/>
        <item x="189"/>
        <item x="172"/>
        <item x="259"/>
        <item x="231"/>
        <item x="213"/>
        <item x="34"/>
        <item x="27"/>
        <item x="191"/>
        <item x="163"/>
        <item x="15"/>
        <item x="138"/>
        <item x="188"/>
        <item x="175"/>
        <item x="55"/>
        <item x="85"/>
        <item x="147"/>
        <item x="82"/>
        <item x="63"/>
        <item x="106"/>
        <item x="246"/>
        <item x="237"/>
        <item x="196"/>
        <item x="254"/>
        <item x="234"/>
        <item x="257"/>
        <item x="146"/>
        <item x="123"/>
        <item x="99"/>
        <item x="219"/>
        <item x="152"/>
        <item x="154"/>
        <item x="195"/>
        <item x="73"/>
        <item x="233"/>
        <item x="150"/>
        <item x="17"/>
        <item x="71"/>
        <item x="64"/>
        <item x="117"/>
        <item x="100"/>
        <item x="66"/>
        <item x="181"/>
        <item x="166"/>
        <item x="80"/>
        <item x="98"/>
        <item x="205"/>
        <item x="29"/>
        <item x="178"/>
        <item x="43"/>
        <item x="201"/>
        <item x="182"/>
        <item x="221"/>
        <item x="194"/>
        <item x="30"/>
        <item x="32"/>
        <item x="61"/>
        <item x="242"/>
        <item x="3"/>
        <item x="103"/>
        <item x="139"/>
        <item x="170"/>
        <item x="212"/>
        <item x="69"/>
        <item x="96"/>
        <item x="75"/>
        <item x="173"/>
        <item x="149"/>
        <item x="208"/>
        <item x="209"/>
        <item x="105"/>
        <item x="225"/>
        <item x="14"/>
        <item x="176"/>
        <item x="39"/>
        <item x="8"/>
        <item x="0"/>
        <item x="165"/>
        <item x="12"/>
        <item x="140"/>
        <item x="214"/>
        <item x="228"/>
        <item x="184"/>
        <item x="222"/>
        <item x="129"/>
        <item x="164"/>
        <item x="239"/>
        <item x="235"/>
        <item x="116"/>
        <item x="134"/>
        <item x="9"/>
        <item x="113"/>
        <item x="251"/>
        <item x="20"/>
        <item x="56"/>
        <item x="177"/>
        <item x="186"/>
        <item x="36"/>
        <item x="88"/>
        <item x="22"/>
        <item x="159"/>
        <item x="78"/>
        <item t="default"/>
      </items>
    </pivotField>
    <pivotField showAll="0">
      <items count="9">
        <item x="5"/>
        <item x="4"/>
        <item x="0"/>
        <item x="6"/>
        <item x="1"/>
        <item x="3"/>
        <item x="2"/>
        <item x="7"/>
        <item t="default"/>
      </items>
    </pivotField>
    <pivotField showAll="0">
      <items count="9">
        <item x="4"/>
        <item x="3"/>
        <item x="0"/>
        <item x="6"/>
        <item x="7"/>
        <item x="1"/>
        <item x="2"/>
        <item x="5"/>
        <item t="default"/>
      </items>
    </pivotField>
    <pivotField axis="axisRow" showAll="0">
      <items count="9">
        <item x="7"/>
        <item x="3"/>
        <item x="2"/>
        <item x="6"/>
        <item x="5"/>
        <item x="0"/>
        <item x="4"/>
        <item x="1"/>
        <item t="default"/>
      </items>
    </pivotField>
    <pivotField showAll="0">
      <items count="5">
        <item x="3"/>
        <item x="2"/>
        <item x="1"/>
        <item x="0"/>
        <item t="default"/>
      </items>
    </pivotField>
    <pivotField showAll="0">
      <items count="4">
        <item x="2"/>
        <item x="1"/>
        <item x="0"/>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9">
    <i>
      <x/>
    </i>
    <i>
      <x v="1"/>
    </i>
    <i>
      <x v="2"/>
    </i>
    <i>
      <x v="3"/>
    </i>
    <i>
      <x v="4"/>
    </i>
    <i>
      <x v="5"/>
    </i>
    <i>
      <x v="6"/>
    </i>
    <i>
      <x v="7"/>
    </i>
    <i t="grand">
      <x/>
    </i>
  </rowItems>
  <colItems count="1">
    <i/>
  </colItems>
  <dataFields count="1">
    <dataField name="Sum of Revenue_USD" fld="9" baseField="0" baseItem="0"/>
  </dataFields>
  <chartFormats count="4">
    <chartFormat chart="40"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7" format="0"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F8D625-AE28-45C5-88D6-7E3F4F48FDFE}"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0">
  <location ref="M53:N62" firstHeaderRow="1" firstDataRow="1" firstDataCol="1"/>
  <pivotFields count="12">
    <pivotField showAll="0"/>
    <pivotField numFmtId="14" showAll="0">
      <items count="265">
        <item x="226"/>
        <item x="87"/>
        <item x="180"/>
        <item x="174"/>
        <item x="136"/>
        <item x="44"/>
        <item x="70"/>
        <item x="215"/>
        <item x="202"/>
        <item x="218"/>
        <item x="114"/>
        <item x="148"/>
        <item x="92"/>
        <item x="49"/>
        <item x="108"/>
        <item x="132"/>
        <item x="171"/>
        <item x="25"/>
        <item x="135"/>
        <item x="250"/>
        <item x="220"/>
        <item x="167"/>
        <item x="247"/>
        <item x="60"/>
        <item x="238"/>
        <item x="204"/>
        <item x="227"/>
        <item x="107"/>
        <item x="126"/>
        <item x="142"/>
        <item x="1"/>
        <item x="128"/>
        <item x="72"/>
        <item x="45"/>
        <item x="68"/>
        <item x="37"/>
        <item x="157"/>
        <item x="81"/>
        <item x="127"/>
        <item x="19"/>
        <item x="161"/>
        <item x="229"/>
        <item x="58"/>
        <item x="232"/>
        <item x="160"/>
        <item x="104"/>
        <item x="41"/>
        <item x="262"/>
        <item x="144"/>
        <item x="244"/>
        <item x="145"/>
        <item x="89"/>
        <item x="217"/>
        <item x="245"/>
        <item x="52"/>
        <item x="179"/>
        <item x="190"/>
        <item x="258"/>
        <item x="65"/>
        <item x="203"/>
        <item x="95"/>
        <item x="77"/>
        <item x="216"/>
        <item x="111"/>
        <item x="67"/>
        <item x="241"/>
        <item x="230"/>
        <item x="193"/>
        <item x="198"/>
        <item x="211"/>
        <item x="76"/>
        <item x="54"/>
        <item x="4"/>
        <item x="2"/>
        <item x="57"/>
        <item x="122"/>
        <item x="256"/>
        <item x="97"/>
        <item x="7"/>
        <item x="118"/>
        <item x="31"/>
        <item x="23"/>
        <item x="101"/>
        <item x="253"/>
        <item x="79"/>
        <item x="74"/>
        <item x="21"/>
        <item x="26"/>
        <item x="121"/>
        <item x="109"/>
        <item x="255"/>
        <item x="183"/>
        <item x="40"/>
        <item x="248"/>
        <item x="200"/>
        <item x="206"/>
        <item x="10"/>
        <item x="133"/>
        <item x="252"/>
        <item x="47"/>
        <item x="141"/>
        <item x="260"/>
        <item x="84"/>
        <item x="6"/>
        <item x="112"/>
        <item x="16"/>
        <item x="197"/>
        <item x="119"/>
        <item x="90"/>
        <item x="46"/>
        <item x="18"/>
        <item x="249"/>
        <item x="125"/>
        <item x="11"/>
        <item x="240"/>
        <item x="158"/>
        <item x="94"/>
        <item x="91"/>
        <item x="131"/>
        <item x="169"/>
        <item x="120"/>
        <item x="50"/>
        <item x="224"/>
        <item x="137"/>
        <item x="168"/>
        <item x="38"/>
        <item x="5"/>
        <item x="192"/>
        <item x="35"/>
        <item x="130"/>
        <item x="153"/>
        <item x="261"/>
        <item x="83"/>
        <item x="143"/>
        <item x="42"/>
        <item x="236"/>
        <item x="199"/>
        <item x="28"/>
        <item x="102"/>
        <item x="243"/>
        <item x="151"/>
        <item x="62"/>
        <item x="210"/>
        <item x="33"/>
        <item x="223"/>
        <item x="13"/>
        <item x="86"/>
        <item x="51"/>
        <item x="185"/>
        <item x="24"/>
        <item x="162"/>
        <item x="124"/>
        <item x="115"/>
        <item x="263"/>
        <item x="207"/>
        <item x="155"/>
        <item x="53"/>
        <item x="48"/>
        <item x="93"/>
        <item x="59"/>
        <item x="110"/>
        <item x="156"/>
        <item x="187"/>
        <item x="189"/>
        <item x="172"/>
        <item x="259"/>
        <item x="231"/>
        <item x="213"/>
        <item x="34"/>
        <item x="27"/>
        <item x="191"/>
        <item x="163"/>
        <item x="15"/>
        <item x="138"/>
        <item x="188"/>
        <item x="175"/>
        <item x="55"/>
        <item x="85"/>
        <item x="147"/>
        <item x="82"/>
        <item x="63"/>
        <item x="106"/>
        <item x="246"/>
        <item x="237"/>
        <item x="196"/>
        <item x="254"/>
        <item x="234"/>
        <item x="257"/>
        <item x="146"/>
        <item x="123"/>
        <item x="99"/>
        <item x="219"/>
        <item x="152"/>
        <item x="154"/>
        <item x="195"/>
        <item x="73"/>
        <item x="233"/>
        <item x="150"/>
        <item x="17"/>
        <item x="71"/>
        <item x="64"/>
        <item x="117"/>
        <item x="100"/>
        <item x="66"/>
        <item x="181"/>
        <item x="166"/>
        <item x="80"/>
        <item x="98"/>
        <item x="205"/>
        <item x="29"/>
        <item x="178"/>
        <item x="43"/>
        <item x="201"/>
        <item x="182"/>
        <item x="221"/>
        <item x="194"/>
        <item x="30"/>
        <item x="32"/>
        <item x="61"/>
        <item x="242"/>
        <item x="3"/>
        <item x="103"/>
        <item x="139"/>
        <item x="170"/>
        <item x="212"/>
        <item x="69"/>
        <item x="96"/>
        <item x="75"/>
        <item x="173"/>
        <item x="149"/>
        <item x="208"/>
        <item x="209"/>
        <item x="105"/>
        <item x="225"/>
        <item x="14"/>
        <item x="176"/>
        <item x="39"/>
        <item x="8"/>
        <item x="0"/>
        <item x="165"/>
        <item x="12"/>
        <item x="140"/>
        <item x="214"/>
        <item x="228"/>
        <item x="184"/>
        <item x="222"/>
        <item x="129"/>
        <item x="164"/>
        <item x="239"/>
        <item x="235"/>
        <item x="116"/>
        <item x="134"/>
        <item x="9"/>
        <item x="113"/>
        <item x="251"/>
        <item x="20"/>
        <item x="56"/>
        <item x="177"/>
        <item x="186"/>
        <item x="36"/>
        <item x="88"/>
        <item x="22"/>
        <item x="159"/>
        <item x="78"/>
        <item t="default"/>
      </items>
    </pivotField>
    <pivotField showAll="0">
      <items count="9">
        <item x="5"/>
        <item x="4"/>
        <item x="0"/>
        <item x="6"/>
        <item x="1"/>
        <item x="3"/>
        <item x="2"/>
        <item x="7"/>
        <item t="default"/>
      </items>
    </pivotField>
    <pivotField axis="axisRow" showAll="0">
      <items count="9">
        <item x="4"/>
        <item x="3"/>
        <item x="0"/>
        <item x="6"/>
        <item x="7"/>
        <item x="1"/>
        <item x="2"/>
        <item x="5"/>
        <item t="default"/>
      </items>
    </pivotField>
    <pivotField showAll="0">
      <items count="9">
        <item x="7"/>
        <item x="3"/>
        <item x="2"/>
        <item x="6"/>
        <item x="5"/>
        <item x="0"/>
        <item x="4"/>
        <item x="1"/>
        <item t="default"/>
      </items>
    </pivotField>
    <pivotField showAll="0">
      <items count="5">
        <item x="3"/>
        <item x="2"/>
        <item x="1"/>
        <item x="0"/>
        <item t="default"/>
      </items>
    </pivotField>
    <pivotField showAll="0"/>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9">
    <i>
      <x/>
    </i>
    <i>
      <x v="1"/>
    </i>
    <i>
      <x v="2"/>
    </i>
    <i>
      <x v="3"/>
    </i>
    <i>
      <x v="4"/>
    </i>
    <i>
      <x v="5"/>
    </i>
    <i>
      <x v="6"/>
    </i>
    <i>
      <x v="7"/>
    </i>
    <i t="grand">
      <x/>
    </i>
  </rowItems>
  <colItems count="1">
    <i/>
  </colItems>
  <dataFields count="1">
    <dataField name="Sum of Units_Sold" fld="8" baseField="3" baseItem="0"/>
  </dataFields>
  <chartFormats count="2">
    <chartFormat chart="34"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56CEA9-0789-426C-8B33-D09A3E9C2D23}"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53:B62" firstHeaderRow="1" firstDataRow="1" firstDataCol="1"/>
  <pivotFields count="12">
    <pivotField showAll="0"/>
    <pivotField numFmtId="14" showAll="0">
      <items count="265">
        <item x="226"/>
        <item x="87"/>
        <item x="180"/>
        <item x="174"/>
        <item x="136"/>
        <item x="44"/>
        <item x="70"/>
        <item x="215"/>
        <item x="202"/>
        <item x="218"/>
        <item x="114"/>
        <item x="148"/>
        <item x="92"/>
        <item x="49"/>
        <item x="108"/>
        <item x="132"/>
        <item x="171"/>
        <item x="25"/>
        <item x="135"/>
        <item x="250"/>
        <item x="220"/>
        <item x="167"/>
        <item x="247"/>
        <item x="60"/>
        <item x="238"/>
        <item x="204"/>
        <item x="227"/>
        <item x="107"/>
        <item x="126"/>
        <item x="142"/>
        <item x="1"/>
        <item x="128"/>
        <item x="72"/>
        <item x="45"/>
        <item x="68"/>
        <item x="37"/>
        <item x="157"/>
        <item x="81"/>
        <item x="127"/>
        <item x="19"/>
        <item x="161"/>
        <item x="229"/>
        <item x="58"/>
        <item x="232"/>
        <item x="160"/>
        <item x="104"/>
        <item x="41"/>
        <item x="262"/>
        <item x="144"/>
        <item x="244"/>
        <item x="145"/>
        <item x="89"/>
        <item x="217"/>
        <item x="245"/>
        <item x="52"/>
        <item x="179"/>
        <item x="190"/>
        <item x="258"/>
        <item x="65"/>
        <item x="203"/>
        <item x="95"/>
        <item x="77"/>
        <item x="216"/>
        <item x="111"/>
        <item x="67"/>
        <item x="241"/>
        <item x="230"/>
        <item x="193"/>
        <item x="198"/>
        <item x="211"/>
        <item x="76"/>
        <item x="54"/>
        <item x="4"/>
        <item x="2"/>
        <item x="57"/>
        <item x="122"/>
        <item x="256"/>
        <item x="97"/>
        <item x="7"/>
        <item x="118"/>
        <item x="31"/>
        <item x="23"/>
        <item x="101"/>
        <item x="253"/>
        <item x="79"/>
        <item x="74"/>
        <item x="21"/>
        <item x="26"/>
        <item x="121"/>
        <item x="109"/>
        <item x="255"/>
        <item x="183"/>
        <item x="40"/>
        <item x="248"/>
        <item x="200"/>
        <item x="206"/>
        <item x="10"/>
        <item x="133"/>
        <item x="252"/>
        <item x="47"/>
        <item x="141"/>
        <item x="260"/>
        <item x="84"/>
        <item x="6"/>
        <item x="112"/>
        <item x="16"/>
        <item x="197"/>
        <item x="119"/>
        <item x="90"/>
        <item x="46"/>
        <item x="18"/>
        <item x="249"/>
        <item x="125"/>
        <item x="11"/>
        <item x="240"/>
        <item x="158"/>
        <item x="94"/>
        <item x="91"/>
        <item x="131"/>
        <item x="169"/>
        <item x="120"/>
        <item x="50"/>
        <item x="224"/>
        <item x="137"/>
        <item x="168"/>
        <item x="38"/>
        <item x="5"/>
        <item x="192"/>
        <item x="35"/>
        <item x="130"/>
        <item x="153"/>
        <item x="261"/>
        <item x="83"/>
        <item x="143"/>
        <item x="42"/>
        <item x="236"/>
        <item x="199"/>
        <item x="28"/>
        <item x="102"/>
        <item x="243"/>
        <item x="151"/>
        <item x="62"/>
        <item x="210"/>
        <item x="33"/>
        <item x="223"/>
        <item x="13"/>
        <item x="86"/>
        <item x="51"/>
        <item x="185"/>
        <item x="24"/>
        <item x="162"/>
        <item x="124"/>
        <item x="115"/>
        <item x="263"/>
        <item x="207"/>
        <item x="155"/>
        <item x="53"/>
        <item x="48"/>
        <item x="93"/>
        <item x="59"/>
        <item x="110"/>
        <item x="156"/>
        <item x="187"/>
        <item x="189"/>
        <item x="172"/>
        <item x="259"/>
        <item x="231"/>
        <item x="213"/>
        <item x="34"/>
        <item x="27"/>
        <item x="191"/>
        <item x="163"/>
        <item x="15"/>
        <item x="138"/>
        <item x="188"/>
        <item x="175"/>
        <item x="55"/>
        <item x="85"/>
        <item x="147"/>
        <item x="82"/>
        <item x="63"/>
        <item x="106"/>
        <item x="246"/>
        <item x="237"/>
        <item x="196"/>
        <item x="254"/>
        <item x="234"/>
        <item x="257"/>
        <item x="146"/>
        <item x="123"/>
        <item x="99"/>
        <item x="219"/>
        <item x="152"/>
        <item x="154"/>
        <item x="195"/>
        <item x="73"/>
        <item x="233"/>
        <item x="150"/>
        <item x="17"/>
        <item x="71"/>
        <item x="64"/>
        <item x="117"/>
        <item x="100"/>
        <item x="66"/>
        <item x="181"/>
        <item x="166"/>
        <item x="80"/>
        <item x="98"/>
        <item x="205"/>
        <item x="29"/>
        <item x="178"/>
        <item x="43"/>
        <item x="201"/>
        <item x="182"/>
        <item x="221"/>
        <item x="194"/>
        <item x="30"/>
        <item x="32"/>
        <item x="61"/>
        <item x="242"/>
        <item x="3"/>
        <item x="103"/>
        <item x="139"/>
        <item x="170"/>
        <item x="212"/>
        <item x="69"/>
        <item x="96"/>
        <item x="75"/>
        <item x="173"/>
        <item x="149"/>
        <item x="208"/>
        <item x="209"/>
        <item x="105"/>
        <item x="225"/>
        <item x="14"/>
        <item x="176"/>
        <item x="39"/>
        <item x="8"/>
        <item x="0"/>
        <item x="165"/>
        <item x="12"/>
        <item x="140"/>
        <item x="214"/>
        <item x="228"/>
        <item x="184"/>
        <item x="222"/>
        <item x="129"/>
        <item x="164"/>
        <item x="239"/>
        <item x="235"/>
        <item x="116"/>
        <item x="134"/>
        <item x="9"/>
        <item x="113"/>
        <item x="251"/>
        <item x="20"/>
        <item x="56"/>
        <item x="177"/>
        <item x="186"/>
        <item x="36"/>
        <item x="88"/>
        <item x="22"/>
        <item x="159"/>
        <item x="78"/>
        <item t="default"/>
      </items>
    </pivotField>
    <pivotField showAll="0">
      <items count="9">
        <item x="5"/>
        <item x="4"/>
        <item x="0"/>
        <item x="6"/>
        <item x="1"/>
        <item x="3"/>
        <item x="2"/>
        <item x="7"/>
        <item t="default"/>
      </items>
    </pivotField>
    <pivotField axis="axisRow" showAll="0">
      <items count="9">
        <item x="4"/>
        <item x="3"/>
        <item x="0"/>
        <item x="6"/>
        <item x="7"/>
        <item x="1"/>
        <item x="2"/>
        <item x="5"/>
        <item t="default"/>
      </items>
    </pivotField>
    <pivotField showAll="0">
      <items count="9">
        <item x="7"/>
        <item x="3"/>
        <item x="2"/>
        <item x="6"/>
        <item x="5"/>
        <item x="0"/>
        <item x="4"/>
        <item x="1"/>
        <item t="default"/>
      </items>
    </pivotField>
    <pivotField showAll="0">
      <items count="5">
        <item x="3"/>
        <item x="2"/>
        <item x="1"/>
        <item x="0"/>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9">
    <i>
      <x/>
    </i>
    <i>
      <x v="1"/>
    </i>
    <i>
      <x v="2"/>
    </i>
    <i>
      <x v="3"/>
    </i>
    <i>
      <x v="4"/>
    </i>
    <i>
      <x v="5"/>
    </i>
    <i>
      <x v="6"/>
    </i>
    <i>
      <x v="7"/>
    </i>
    <i t="grand">
      <x/>
    </i>
  </rowItems>
  <colItems count="1">
    <i/>
  </colItems>
  <dataFields count="1">
    <dataField name="Sum of Revenue_USD" fld="9" baseField="3" baseItem="0"/>
  </dataFields>
  <chartFormats count="12">
    <chartFormat chart="15" format="0" series="1">
      <pivotArea type="data" outline="0" fieldPosition="0">
        <references count="1">
          <reference field="4294967294" count="1" selected="0">
            <x v="0"/>
          </reference>
        </references>
      </pivotArea>
    </chartFormat>
    <chartFormat chart="18" format="19" series="1">
      <pivotArea type="data" outline="0" fieldPosition="0">
        <references count="1">
          <reference field="4294967294" count="1" selected="0">
            <x v="0"/>
          </reference>
        </references>
      </pivotArea>
    </chartFormat>
    <chartFormat chart="18" format="20">
      <pivotArea type="data" outline="0" fieldPosition="0">
        <references count="2">
          <reference field="4294967294" count="1" selected="0">
            <x v="0"/>
          </reference>
          <reference field="3" count="1" selected="0">
            <x v="0"/>
          </reference>
        </references>
      </pivotArea>
    </chartFormat>
    <chartFormat chart="18" format="21">
      <pivotArea type="data" outline="0" fieldPosition="0">
        <references count="2">
          <reference field="4294967294" count="1" selected="0">
            <x v="0"/>
          </reference>
          <reference field="3" count="1" selected="0">
            <x v="1"/>
          </reference>
        </references>
      </pivotArea>
    </chartFormat>
    <chartFormat chart="18" format="22">
      <pivotArea type="data" outline="0" fieldPosition="0">
        <references count="2">
          <reference field="4294967294" count="1" selected="0">
            <x v="0"/>
          </reference>
          <reference field="3" count="1" selected="0">
            <x v="2"/>
          </reference>
        </references>
      </pivotArea>
    </chartFormat>
    <chartFormat chart="18" format="23">
      <pivotArea type="data" outline="0" fieldPosition="0">
        <references count="2">
          <reference field="4294967294" count="1" selected="0">
            <x v="0"/>
          </reference>
          <reference field="3" count="1" selected="0">
            <x v="3"/>
          </reference>
        </references>
      </pivotArea>
    </chartFormat>
    <chartFormat chart="18" format="24">
      <pivotArea type="data" outline="0" fieldPosition="0">
        <references count="2">
          <reference field="4294967294" count="1" selected="0">
            <x v="0"/>
          </reference>
          <reference field="3" count="1" selected="0">
            <x v="4"/>
          </reference>
        </references>
      </pivotArea>
    </chartFormat>
    <chartFormat chart="18" format="25">
      <pivotArea type="data" outline="0" fieldPosition="0">
        <references count="2">
          <reference field="4294967294" count="1" selected="0">
            <x v="0"/>
          </reference>
          <reference field="3" count="1" selected="0">
            <x v="5"/>
          </reference>
        </references>
      </pivotArea>
    </chartFormat>
    <chartFormat chart="18" format="26">
      <pivotArea type="data" outline="0" fieldPosition="0">
        <references count="2">
          <reference field="4294967294" count="1" selected="0">
            <x v="0"/>
          </reference>
          <reference field="3" count="1" selected="0">
            <x v="6"/>
          </reference>
        </references>
      </pivotArea>
    </chartFormat>
    <chartFormat chart="18" format="27">
      <pivotArea type="data" outline="0" fieldPosition="0">
        <references count="2">
          <reference field="4294967294" count="1" selected="0">
            <x v="0"/>
          </reference>
          <reference field="3" count="1" selected="0">
            <x v="7"/>
          </reference>
        </references>
      </pivotArea>
    </chartFormat>
    <chartFormat chart="25" format="3"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4EAA8A-1896-42AF-93EF-F7CDB929D6F5}"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1">
  <location ref="AB7:AB8" firstHeaderRow="1" firstDataRow="1" firstDataCol="0"/>
  <pivotFields count="12">
    <pivotField showAll="0"/>
    <pivotField numFmtId="14" showAll="0">
      <items count="265">
        <item x="226"/>
        <item x="87"/>
        <item x="180"/>
        <item x="174"/>
        <item x="136"/>
        <item x="44"/>
        <item x="70"/>
        <item x="215"/>
        <item x="202"/>
        <item x="218"/>
        <item x="114"/>
        <item x="148"/>
        <item x="92"/>
        <item x="49"/>
        <item x="108"/>
        <item x="132"/>
        <item x="171"/>
        <item x="25"/>
        <item x="135"/>
        <item x="250"/>
        <item x="220"/>
        <item x="167"/>
        <item x="247"/>
        <item x="60"/>
        <item x="238"/>
        <item x="204"/>
        <item x="227"/>
        <item x="107"/>
        <item x="126"/>
        <item x="142"/>
        <item x="1"/>
        <item x="128"/>
        <item x="72"/>
        <item x="45"/>
        <item x="68"/>
        <item x="37"/>
        <item x="157"/>
        <item x="81"/>
        <item x="127"/>
        <item x="19"/>
        <item x="161"/>
        <item x="229"/>
        <item x="58"/>
        <item x="232"/>
        <item x="160"/>
        <item x="104"/>
        <item x="41"/>
        <item x="262"/>
        <item x="144"/>
        <item x="244"/>
        <item x="145"/>
        <item x="89"/>
        <item x="217"/>
        <item x="245"/>
        <item x="52"/>
        <item x="179"/>
        <item x="190"/>
        <item x="258"/>
        <item x="65"/>
        <item x="203"/>
        <item x="95"/>
        <item x="77"/>
        <item x="216"/>
        <item x="111"/>
        <item x="67"/>
        <item x="241"/>
        <item x="230"/>
        <item x="193"/>
        <item x="198"/>
        <item x="211"/>
        <item x="76"/>
        <item x="54"/>
        <item x="4"/>
        <item x="2"/>
        <item x="57"/>
        <item x="122"/>
        <item x="256"/>
        <item x="97"/>
        <item x="7"/>
        <item x="118"/>
        <item x="31"/>
        <item x="23"/>
        <item x="101"/>
        <item x="253"/>
        <item x="79"/>
        <item x="74"/>
        <item x="21"/>
        <item x="26"/>
        <item x="121"/>
        <item x="109"/>
        <item x="255"/>
        <item x="183"/>
        <item x="40"/>
        <item x="248"/>
        <item x="200"/>
        <item x="206"/>
        <item x="10"/>
        <item x="133"/>
        <item x="252"/>
        <item x="47"/>
        <item x="141"/>
        <item x="260"/>
        <item x="84"/>
        <item x="6"/>
        <item x="112"/>
        <item x="16"/>
        <item x="197"/>
        <item x="119"/>
        <item x="90"/>
        <item x="46"/>
        <item x="18"/>
        <item x="249"/>
        <item x="125"/>
        <item x="11"/>
        <item x="240"/>
        <item x="158"/>
        <item x="94"/>
        <item x="91"/>
        <item x="131"/>
        <item x="169"/>
        <item x="120"/>
        <item x="50"/>
        <item x="224"/>
        <item x="137"/>
        <item x="168"/>
        <item x="38"/>
        <item x="5"/>
        <item x="192"/>
        <item x="35"/>
        <item x="130"/>
        <item x="153"/>
        <item x="261"/>
        <item x="83"/>
        <item x="143"/>
        <item x="42"/>
        <item x="236"/>
        <item x="199"/>
        <item x="28"/>
        <item x="102"/>
        <item x="243"/>
        <item x="151"/>
        <item x="62"/>
        <item x="210"/>
        <item x="33"/>
        <item x="223"/>
        <item x="13"/>
        <item x="86"/>
        <item x="51"/>
        <item x="185"/>
        <item x="24"/>
        <item x="162"/>
        <item x="124"/>
        <item x="115"/>
        <item x="263"/>
        <item x="207"/>
        <item x="155"/>
        <item x="53"/>
        <item x="48"/>
        <item x="93"/>
        <item x="59"/>
        <item x="110"/>
        <item x="156"/>
        <item x="187"/>
        <item x="189"/>
        <item x="172"/>
        <item x="259"/>
        <item x="231"/>
        <item x="213"/>
        <item x="34"/>
        <item x="27"/>
        <item x="191"/>
        <item x="163"/>
        <item x="15"/>
        <item x="138"/>
        <item x="188"/>
        <item x="175"/>
        <item x="55"/>
        <item x="85"/>
        <item x="147"/>
        <item x="82"/>
        <item x="63"/>
        <item x="106"/>
        <item x="246"/>
        <item x="237"/>
        <item x="196"/>
        <item x="254"/>
        <item x="234"/>
        <item x="257"/>
        <item x="146"/>
        <item x="123"/>
        <item x="99"/>
        <item x="219"/>
        <item x="152"/>
        <item x="154"/>
        <item x="195"/>
        <item x="73"/>
        <item x="233"/>
        <item x="150"/>
        <item x="17"/>
        <item x="71"/>
        <item x="64"/>
        <item x="117"/>
        <item x="100"/>
        <item x="66"/>
        <item x="181"/>
        <item x="166"/>
        <item x="80"/>
        <item x="98"/>
        <item x="205"/>
        <item x="29"/>
        <item x="178"/>
        <item x="43"/>
        <item x="201"/>
        <item x="182"/>
        <item x="221"/>
        <item x="194"/>
        <item x="30"/>
        <item x="32"/>
        <item x="61"/>
        <item x="242"/>
        <item x="3"/>
        <item x="103"/>
        <item x="139"/>
        <item x="170"/>
        <item x="212"/>
        <item x="69"/>
        <item x="96"/>
        <item x="75"/>
        <item x="173"/>
        <item x="149"/>
        <item x="208"/>
        <item x="209"/>
        <item x="105"/>
        <item x="225"/>
        <item x="14"/>
        <item x="176"/>
        <item x="39"/>
        <item x="8"/>
        <item x="0"/>
        <item x="165"/>
        <item x="12"/>
        <item x="140"/>
        <item x="214"/>
        <item x="228"/>
        <item x="184"/>
        <item x="222"/>
        <item x="129"/>
        <item x="164"/>
        <item x="239"/>
        <item x="235"/>
        <item x="116"/>
        <item x="134"/>
        <item x="9"/>
        <item x="113"/>
        <item x="251"/>
        <item x="20"/>
        <item x="56"/>
        <item x="177"/>
        <item x="186"/>
        <item x="36"/>
        <item x="88"/>
        <item x="22"/>
        <item x="159"/>
        <item x="78"/>
        <item t="default"/>
      </items>
    </pivotField>
    <pivotField showAll="0">
      <items count="9">
        <item x="5"/>
        <item x="4"/>
        <item x="0"/>
        <item x="6"/>
        <item x="1"/>
        <item x="3"/>
        <item x="2"/>
        <item x="7"/>
        <item t="default"/>
      </items>
    </pivotField>
    <pivotField showAll="0">
      <items count="9">
        <item x="4"/>
        <item x="3"/>
        <item x="0"/>
        <item x="6"/>
        <item x="7"/>
        <item x="1"/>
        <item x="2"/>
        <item x="5"/>
        <item t="default"/>
      </items>
    </pivotField>
    <pivotField showAll="0">
      <items count="9">
        <item x="7"/>
        <item x="3"/>
        <item x="2"/>
        <item x="6"/>
        <item x="5"/>
        <item x="0"/>
        <item x="4"/>
        <item x="1"/>
        <item t="default"/>
      </items>
    </pivotField>
    <pivotField showAll="0">
      <items count="5">
        <item x="3"/>
        <item x="2"/>
        <item x="1"/>
        <item x="0"/>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Revenue_USD" fld="9" baseField="0" baseItem="0"/>
  </dataFields>
  <chartFormats count="6">
    <chartFormat chart="15" format="0" series="1">
      <pivotArea type="data" outline="0" fieldPosition="0">
        <references count="1">
          <reference field="4294967294" count="1" selected="0">
            <x v="0"/>
          </reference>
        </references>
      </pivotArea>
    </chartFormat>
    <chartFormat chart="18" format="19"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4A13EF6-434B-4B18-8597-65941210D54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G12:H21" firstHeaderRow="1" firstDataRow="1" firstDataCol="1"/>
  <pivotFields count="12">
    <pivotField showAll="0"/>
    <pivotField numFmtId="14" showAll="0">
      <items count="265">
        <item x="226"/>
        <item x="87"/>
        <item x="180"/>
        <item x="174"/>
        <item x="136"/>
        <item x="44"/>
        <item x="70"/>
        <item x="215"/>
        <item x="202"/>
        <item x="218"/>
        <item x="114"/>
        <item x="148"/>
        <item x="92"/>
        <item x="49"/>
        <item x="108"/>
        <item x="132"/>
        <item x="171"/>
        <item x="25"/>
        <item x="135"/>
        <item x="250"/>
        <item x="220"/>
        <item x="167"/>
        <item x="247"/>
        <item x="60"/>
        <item x="238"/>
        <item x="204"/>
        <item x="227"/>
        <item x="107"/>
        <item x="126"/>
        <item x="142"/>
        <item x="1"/>
        <item x="128"/>
        <item x="72"/>
        <item x="45"/>
        <item x="68"/>
        <item x="37"/>
        <item x="157"/>
        <item x="81"/>
        <item x="127"/>
        <item x="19"/>
        <item x="161"/>
        <item x="229"/>
        <item x="58"/>
        <item x="232"/>
        <item x="160"/>
        <item x="104"/>
        <item x="41"/>
        <item x="262"/>
        <item x="144"/>
        <item x="244"/>
        <item x="145"/>
        <item x="89"/>
        <item x="217"/>
        <item x="245"/>
        <item x="52"/>
        <item x="179"/>
        <item x="190"/>
        <item x="258"/>
        <item x="65"/>
        <item x="203"/>
        <item x="95"/>
        <item x="77"/>
        <item x="216"/>
        <item x="111"/>
        <item x="67"/>
        <item x="241"/>
        <item x="230"/>
        <item x="193"/>
        <item x="198"/>
        <item x="211"/>
        <item x="76"/>
        <item x="54"/>
        <item x="4"/>
        <item x="2"/>
        <item x="57"/>
        <item x="122"/>
        <item x="256"/>
        <item x="97"/>
        <item x="7"/>
        <item x="118"/>
        <item x="31"/>
        <item x="23"/>
        <item x="101"/>
        <item x="253"/>
        <item x="79"/>
        <item x="74"/>
        <item x="21"/>
        <item x="26"/>
        <item x="121"/>
        <item x="109"/>
        <item x="255"/>
        <item x="183"/>
        <item x="40"/>
        <item x="248"/>
        <item x="200"/>
        <item x="206"/>
        <item x="10"/>
        <item x="133"/>
        <item x="252"/>
        <item x="47"/>
        <item x="141"/>
        <item x="260"/>
        <item x="84"/>
        <item x="6"/>
        <item x="112"/>
        <item x="16"/>
        <item x="197"/>
        <item x="119"/>
        <item x="90"/>
        <item x="46"/>
        <item x="18"/>
        <item x="249"/>
        <item x="125"/>
        <item x="11"/>
        <item x="240"/>
        <item x="158"/>
        <item x="94"/>
        <item x="91"/>
        <item x="131"/>
        <item x="169"/>
        <item x="120"/>
        <item x="50"/>
        <item x="224"/>
        <item x="137"/>
        <item x="168"/>
        <item x="38"/>
        <item x="5"/>
        <item x="192"/>
        <item x="35"/>
        <item x="130"/>
        <item x="153"/>
        <item x="261"/>
        <item x="83"/>
        <item x="143"/>
        <item x="42"/>
        <item x="236"/>
        <item x="199"/>
        <item x="28"/>
        <item x="102"/>
        <item x="243"/>
        <item x="151"/>
        <item x="62"/>
        <item x="210"/>
        <item x="33"/>
        <item x="223"/>
        <item x="13"/>
        <item x="86"/>
        <item x="51"/>
        <item x="185"/>
        <item x="24"/>
        <item x="162"/>
        <item x="124"/>
        <item x="115"/>
        <item x="263"/>
        <item x="207"/>
        <item x="155"/>
        <item x="53"/>
        <item x="48"/>
        <item x="93"/>
        <item x="59"/>
        <item x="110"/>
        <item x="156"/>
        <item x="187"/>
        <item x="189"/>
        <item x="172"/>
        <item x="259"/>
        <item x="231"/>
        <item x="213"/>
        <item x="34"/>
        <item x="27"/>
        <item x="191"/>
        <item x="163"/>
        <item x="15"/>
        <item x="138"/>
        <item x="188"/>
        <item x="175"/>
        <item x="55"/>
        <item x="85"/>
        <item x="147"/>
        <item x="82"/>
        <item x="63"/>
        <item x="106"/>
        <item x="246"/>
        <item x="237"/>
        <item x="196"/>
        <item x="254"/>
        <item x="234"/>
        <item x="257"/>
        <item x="146"/>
        <item x="123"/>
        <item x="99"/>
        <item x="219"/>
        <item x="152"/>
        <item x="154"/>
        <item x="195"/>
        <item x="73"/>
        <item x="233"/>
        <item x="150"/>
        <item x="17"/>
        <item x="71"/>
        <item x="64"/>
        <item x="117"/>
        <item x="100"/>
        <item x="66"/>
        <item x="181"/>
        <item x="166"/>
        <item x="80"/>
        <item x="98"/>
        <item x="205"/>
        <item x="29"/>
        <item x="178"/>
        <item x="43"/>
        <item x="201"/>
        <item x="182"/>
        <item x="221"/>
        <item x="194"/>
        <item x="30"/>
        <item x="32"/>
        <item x="61"/>
        <item x="242"/>
        <item x="3"/>
        <item x="103"/>
        <item x="139"/>
        <item x="170"/>
        <item x="212"/>
        <item x="69"/>
        <item x="96"/>
        <item x="75"/>
        <item x="173"/>
        <item x="149"/>
        <item x="208"/>
        <item x="209"/>
        <item x="105"/>
        <item x="225"/>
        <item x="14"/>
        <item x="176"/>
        <item x="39"/>
        <item x="8"/>
        <item x="0"/>
        <item x="165"/>
        <item x="12"/>
        <item x="140"/>
        <item x="214"/>
        <item x="228"/>
        <item x="184"/>
        <item x="222"/>
        <item x="129"/>
        <item x="164"/>
        <item x="239"/>
        <item x="235"/>
        <item x="116"/>
        <item x="134"/>
        <item x="9"/>
        <item x="113"/>
        <item x="251"/>
        <item x="20"/>
        <item x="56"/>
        <item x="177"/>
        <item x="186"/>
        <item x="36"/>
        <item x="88"/>
        <item x="22"/>
        <item x="159"/>
        <item x="78"/>
        <item t="default"/>
      </items>
    </pivotField>
    <pivotField axis="axisRow" showAll="0">
      <items count="9">
        <item x="5"/>
        <item x="4"/>
        <item x="0"/>
        <item x="6"/>
        <item x="1"/>
        <item x="3"/>
        <item x="2"/>
        <item x="7"/>
        <item t="default"/>
      </items>
    </pivotField>
    <pivotField showAll="0"/>
    <pivotField showAll="0">
      <items count="9">
        <item x="7"/>
        <item x="3"/>
        <item x="2"/>
        <item x="6"/>
        <item x="5"/>
        <item x="0"/>
        <item x="4"/>
        <item x="1"/>
        <item t="default"/>
      </items>
    </pivotField>
    <pivotField showAll="0">
      <items count="5">
        <item x="3"/>
        <item x="2"/>
        <item x="1"/>
        <item x="0"/>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i>
    <i>
      <x v="1"/>
    </i>
    <i>
      <x v="2"/>
    </i>
    <i>
      <x v="3"/>
    </i>
    <i>
      <x v="4"/>
    </i>
    <i>
      <x v="5"/>
    </i>
    <i>
      <x v="6"/>
    </i>
    <i>
      <x v="7"/>
    </i>
    <i t="grand">
      <x/>
    </i>
  </rowItems>
  <colItems count="1">
    <i/>
  </colItems>
  <dataFields count="1">
    <dataField name="Sum of Revenue_USD" fld="9" baseField="11" baseItem="1"/>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A2B46FB-84AB-4183-8E34-839AD071D462}" name="PivotTable1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7">
  <location ref="B84:C88" firstHeaderRow="1" firstDataRow="1" firstDataCol="1"/>
  <pivotFields count="12">
    <pivotField showAll="0"/>
    <pivotField numFmtId="14" showAll="0">
      <items count="265">
        <item x="226"/>
        <item x="87"/>
        <item x="180"/>
        <item x="174"/>
        <item x="136"/>
        <item x="44"/>
        <item x="70"/>
        <item x="215"/>
        <item x="202"/>
        <item x="218"/>
        <item x="114"/>
        <item x="148"/>
        <item x="92"/>
        <item x="49"/>
        <item x="108"/>
        <item x="132"/>
        <item x="171"/>
        <item x="25"/>
        <item x="135"/>
        <item x="250"/>
        <item x="220"/>
        <item x="167"/>
        <item x="247"/>
        <item x="60"/>
        <item x="238"/>
        <item x="204"/>
        <item x="227"/>
        <item x="107"/>
        <item x="126"/>
        <item x="142"/>
        <item x="1"/>
        <item x="128"/>
        <item x="72"/>
        <item x="45"/>
        <item x="68"/>
        <item x="37"/>
        <item x="157"/>
        <item x="81"/>
        <item x="127"/>
        <item x="19"/>
        <item x="161"/>
        <item x="229"/>
        <item x="58"/>
        <item x="232"/>
        <item x="160"/>
        <item x="104"/>
        <item x="41"/>
        <item x="262"/>
        <item x="144"/>
        <item x="244"/>
        <item x="145"/>
        <item x="89"/>
        <item x="217"/>
        <item x="245"/>
        <item x="52"/>
        <item x="179"/>
        <item x="190"/>
        <item x="258"/>
        <item x="65"/>
        <item x="203"/>
        <item x="95"/>
        <item x="77"/>
        <item x="216"/>
        <item x="111"/>
        <item x="67"/>
        <item x="241"/>
        <item x="230"/>
        <item x="193"/>
        <item x="198"/>
        <item x="211"/>
        <item x="76"/>
        <item x="54"/>
        <item x="4"/>
        <item x="2"/>
        <item x="57"/>
        <item x="122"/>
        <item x="256"/>
        <item x="97"/>
        <item x="7"/>
        <item x="118"/>
        <item x="31"/>
        <item x="23"/>
        <item x="101"/>
        <item x="253"/>
        <item x="79"/>
        <item x="74"/>
        <item x="21"/>
        <item x="26"/>
        <item x="121"/>
        <item x="109"/>
        <item x="255"/>
        <item x="183"/>
        <item x="40"/>
        <item x="248"/>
        <item x="200"/>
        <item x="206"/>
        <item x="10"/>
        <item x="133"/>
        <item x="252"/>
        <item x="47"/>
        <item x="141"/>
        <item x="260"/>
        <item x="84"/>
        <item x="6"/>
        <item x="112"/>
        <item x="16"/>
        <item x="197"/>
        <item x="119"/>
        <item x="90"/>
        <item x="46"/>
        <item x="18"/>
        <item x="249"/>
        <item x="125"/>
        <item x="11"/>
        <item x="240"/>
        <item x="158"/>
        <item x="94"/>
        <item x="91"/>
        <item x="131"/>
        <item x="169"/>
        <item x="120"/>
        <item x="50"/>
        <item x="224"/>
        <item x="137"/>
        <item x="168"/>
        <item x="38"/>
        <item x="5"/>
        <item x="192"/>
        <item x="35"/>
        <item x="130"/>
        <item x="153"/>
        <item x="261"/>
        <item x="83"/>
        <item x="143"/>
        <item x="42"/>
        <item x="236"/>
        <item x="199"/>
        <item x="28"/>
        <item x="102"/>
        <item x="243"/>
        <item x="151"/>
        <item x="62"/>
        <item x="210"/>
        <item x="33"/>
        <item x="223"/>
        <item x="13"/>
        <item x="86"/>
        <item x="51"/>
        <item x="185"/>
        <item x="24"/>
        <item x="162"/>
        <item x="124"/>
        <item x="115"/>
        <item x="263"/>
        <item x="207"/>
        <item x="155"/>
        <item x="53"/>
        <item x="48"/>
        <item x="93"/>
        <item x="59"/>
        <item x="110"/>
        <item x="156"/>
        <item x="187"/>
        <item x="189"/>
        <item x="172"/>
        <item x="259"/>
        <item x="231"/>
        <item x="213"/>
        <item x="34"/>
        <item x="27"/>
        <item x="191"/>
        <item x="163"/>
        <item x="15"/>
        <item x="138"/>
        <item x="188"/>
        <item x="175"/>
        <item x="55"/>
        <item x="85"/>
        <item x="147"/>
        <item x="82"/>
        <item x="63"/>
        <item x="106"/>
        <item x="246"/>
        <item x="237"/>
        <item x="196"/>
        <item x="254"/>
        <item x="234"/>
        <item x="257"/>
        <item x="146"/>
        <item x="123"/>
        <item x="99"/>
        <item x="219"/>
        <item x="152"/>
        <item x="154"/>
        <item x="195"/>
        <item x="73"/>
        <item x="233"/>
        <item x="150"/>
        <item x="17"/>
        <item x="71"/>
        <item x="64"/>
        <item x="117"/>
        <item x="100"/>
        <item x="66"/>
        <item x="181"/>
        <item x="166"/>
        <item x="80"/>
        <item x="98"/>
        <item x="205"/>
        <item x="29"/>
        <item x="178"/>
        <item x="43"/>
        <item x="201"/>
        <item x="182"/>
        <item x="221"/>
        <item x="194"/>
        <item x="30"/>
        <item x="32"/>
        <item x="61"/>
        <item x="242"/>
        <item x="3"/>
        <item x="103"/>
        <item x="139"/>
        <item x="170"/>
        <item x="212"/>
        <item x="69"/>
        <item x="96"/>
        <item x="75"/>
        <item x="173"/>
        <item x="149"/>
        <item x="208"/>
        <item x="209"/>
        <item x="105"/>
        <item x="225"/>
        <item x="14"/>
        <item x="176"/>
        <item x="39"/>
        <item x="8"/>
        <item x="0"/>
        <item x="165"/>
        <item x="12"/>
        <item x="140"/>
        <item x="214"/>
        <item x="228"/>
        <item x="184"/>
        <item x="222"/>
        <item x="129"/>
        <item x="164"/>
        <item x="239"/>
        <item x="235"/>
        <item x="116"/>
        <item x="134"/>
        <item x="9"/>
        <item x="113"/>
        <item x="251"/>
        <item x="20"/>
        <item x="56"/>
        <item x="177"/>
        <item x="186"/>
        <item x="36"/>
        <item x="88"/>
        <item x="22"/>
        <item x="159"/>
        <item x="78"/>
        <item t="default"/>
      </items>
    </pivotField>
    <pivotField showAll="0">
      <items count="9">
        <item x="5"/>
        <item x="4"/>
        <item x="0"/>
        <item x="6"/>
        <item x="1"/>
        <item x="3"/>
        <item x="2"/>
        <item x="7"/>
        <item t="default"/>
      </items>
    </pivotField>
    <pivotField showAll="0">
      <items count="9">
        <item x="4"/>
        <item x="3"/>
        <item x="0"/>
        <item x="6"/>
        <item x="7"/>
        <item x="1"/>
        <item x="2"/>
        <item x="5"/>
        <item t="default"/>
      </items>
    </pivotField>
    <pivotField showAll="0">
      <items count="9">
        <item x="7"/>
        <item x="3"/>
        <item x="2"/>
        <item x="6"/>
        <item x="5"/>
        <item x="0"/>
        <item x="4"/>
        <item x="1"/>
        <item t="default"/>
      </items>
    </pivotField>
    <pivotField showAll="0">
      <items count="5">
        <item x="3"/>
        <item x="2"/>
        <item x="1"/>
        <item x="0"/>
        <item t="default"/>
      </items>
    </pivotField>
    <pivotField axis="axisRow" showAll="0">
      <items count="4">
        <item x="2"/>
        <item x="1"/>
        <item x="0"/>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4">
    <i>
      <x/>
    </i>
    <i>
      <x v="1"/>
    </i>
    <i>
      <x v="2"/>
    </i>
    <i t="grand">
      <x/>
    </i>
  </rowItems>
  <colItems count="1">
    <i/>
  </colItems>
  <dataFields count="1">
    <dataField name="Sum of Revenue_USD" fld="9" baseField="0" baseItem="0"/>
  </dataFields>
  <chartFormats count="2">
    <chartFormat chart="40"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5CB8FD7-8E39-4467-95A1-9525130D9C62}"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5">
  <location ref="K86:L90" firstHeaderRow="1" firstDataRow="1" firstDataCol="1"/>
  <pivotFields count="12">
    <pivotField showAll="0"/>
    <pivotField numFmtId="14" showAll="0">
      <items count="265">
        <item x="226"/>
        <item x="87"/>
        <item x="180"/>
        <item x="174"/>
        <item x="136"/>
        <item x="44"/>
        <item x="70"/>
        <item x="215"/>
        <item x="202"/>
        <item x="218"/>
        <item x="114"/>
        <item x="148"/>
        <item x="92"/>
        <item x="49"/>
        <item x="108"/>
        <item x="132"/>
        <item x="171"/>
        <item x="25"/>
        <item x="135"/>
        <item x="250"/>
        <item x="220"/>
        <item x="167"/>
        <item x="247"/>
        <item x="60"/>
        <item x="238"/>
        <item x="204"/>
        <item x="227"/>
        <item x="107"/>
        <item x="126"/>
        <item x="142"/>
        <item x="1"/>
        <item x="128"/>
        <item x="72"/>
        <item x="45"/>
        <item x="68"/>
        <item x="37"/>
        <item x="157"/>
        <item x="81"/>
        <item x="127"/>
        <item x="19"/>
        <item x="161"/>
        <item x="229"/>
        <item x="58"/>
        <item x="232"/>
        <item x="160"/>
        <item x="104"/>
        <item x="41"/>
        <item x="262"/>
        <item x="144"/>
        <item x="244"/>
        <item x="145"/>
        <item x="89"/>
        <item x="217"/>
        <item x="245"/>
        <item x="52"/>
        <item x="179"/>
        <item x="190"/>
        <item x="258"/>
        <item x="65"/>
        <item x="203"/>
        <item x="95"/>
        <item x="77"/>
        <item x="216"/>
        <item x="111"/>
        <item x="67"/>
        <item x="241"/>
        <item x="230"/>
        <item x="193"/>
        <item x="198"/>
        <item x="211"/>
        <item x="76"/>
        <item x="54"/>
        <item x="4"/>
        <item x="2"/>
        <item x="57"/>
        <item x="122"/>
        <item x="256"/>
        <item x="97"/>
        <item x="7"/>
        <item x="118"/>
        <item x="31"/>
        <item x="23"/>
        <item x="101"/>
        <item x="253"/>
        <item x="79"/>
        <item x="74"/>
        <item x="21"/>
        <item x="26"/>
        <item x="121"/>
        <item x="109"/>
        <item x="255"/>
        <item x="183"/>
        <item x="40"/>
        <item x="248"/>
        <item x="200"/>
        <item x="206"/>
        <item x="10"/>
        <item x="133"/>
        <item x="252"/>
        <item x="47"/>
        <item x="141"/>
        <item x="260"/>
        <item x="84"/>
        <item x="6"/>
        <item x="112"/>
        <item x="16"/>
        <item x="197"/>
        <item x="119"/>
        <item x="90"/>
        <item x="46"/>
        <item x="18"/>
        <item x="249"/>
        <item x="125"/>
        <item x="11"/>
        <item x="240"/>
        <item x="158"/>
        <item x="94"/>
        <item x="91"/>
        <item x="131"/>
        <item x="169"/>
        <item x="120"/>
        <item x="50"/>
        <item x="224"/>
        <item x="137"/>
        <item x="168"/>
        <item x="38"/>
        <item x="5"/>
        <item x="192"/>
        <item x="35"/>
        <item x="130"/>
        <item x="153"/>
        <item x="261"/>
        <item x="83"/>
        <item x="143"/>
        <item x="42"/>
        <item x="236"/>
        <item x="199"/>
        <item x="28"/>
        <item x="102"/>
        <item x="243"/>
        <item x="151"/>
        <item x="62"/>
        <item x="210"/>
        <item x="33"/>
        <item x="223"/>
        <item x="13"/>
        <item x="86"/>
        <item x="51"/>
        <item x="185"/>
        <item x="24"/>
        <item x="162"/>
        <item x="124"/>
        <item x="115"/>
        <item x="263"/>
        <item x="207"/>
        <item x="155"/>
        <item x="53"/>
        <item x="48"/>
        <item x="93"/>
        <item x="59"/>
        <item x="110"/>
        <item x="156"/>
        <item x="187"/>
        <item x="189"/>
        <item x="172"/>
        <item x="259"/>
        <item x="231"/>
        <item x="213"/>
        <item x="34"/>
        <item x="27"/>
        <item x="191"/>
        <item x="163"/>
        <item x="15"/>
        <item x="138"/>
        <item x="188"/>
        <item x="175"/>
        <item x="55"/>
        <item x="85"/>
        <item x="147"/>
        <item x="82"/>
        <item x="63"/>
        <item x="106"/>
        <item x="246"/>
        <item x="237"/>
        <item x="196"/>
        <item x="254"/>
        <item x="234"/>
        <item x="257"/>
        <item x="146"/>
        <item x="123"/>
        <item x="99"/>
        <item x="219"/>
        <item x="152"/>
        <item x="154"/>
        <item x="195"/>
        <item x="73"/>
        <item x="233"/>
        <item x="150"/>
        <item x="17"/>
        <item x="71"/>
        <item x="64"/>
        <item x="117"/>
        <item x="100"/>
        <item x="66"/>
        <item x="181"/>
        <item x="166"/>
        <item x="80"/>
        <item x="98"/>
        <item x="205"/>
        <item x="29"/>
        <item x="178"/>
        <item x="43"/>
        <item x="201"/>
        <item x="182"/>
        <item x="221"/>
        <item x="194"/>
        <item x="30"/>
        <item x="32"/>
        <item x="61"/>
        <item x="242"/>
        <item x="3"/>
        <item x="103"/>
        <item x="139"/>
        <item x="170"/>
        <item x="212"/>
        <item x="69"/>
        <item x="96"/>
        <item x="75"/>
        <item x="173"/>
        <item x="149"/>
        <item x="208"/>
        <item x="209"/>
        <item x="105"/>
        <item x="225"/>
        <item x="14"/>
        <item x="176"/>
        <item x="39"/>
        <item x="8"/>
        <item x="0"/>
        <item x="165"/>
        <item x="12"/>
        <item x="140"/>
        <item x="214"/>
        <item x="228"/>
        <item x="184"/>
        <item x="222"/>
        <item x="129"/>
        <item x="164"/>
        <item x="239"/>
        <item x="235"/>
        <item x="116"/>
        <item x="134"/>
        <item x="9"/>
        <item x="113"/>
        <item x="251"/>
        <item x="20"/>
        <item x="56"/>
        <item x="177"/>
        <item x="186"/>
        <item x="36"/>
        <item x="88"/>
        <item x="22"/>
        <item x="159"/>
        <item x="78"/>
        <item t="default"/>
      </items>
    </pivotField>
    <pivotField showAll="0">
      <items count="9">
        <item x="5"/>
        <item x="4"/>
        <item x="0"/>
        <item x="6"/>
        <item x="1"/>
        <item x="3"/>
        <item x="2"/>
        <item x="7"/>
        <item t="default"/>
      </items>
    </pivotField>
    <pivotField showAll="0">
      <items count="9">
        <item x="4"/>
        <item x="3"/>
        <item x="0"/>
        <item x="6"/>
        <item x="7"/>
        <item x="1"/>
        <item x="2"/>
        <item x="5"/>
        <item t="default"/>
      </items>
    </pivotField>
    <pivotField showAll="0">
      <items count="9">
        <item x="7"/>
        <item x="3"/>
        <item x="2"/>
        <item x="6"/>
        <item x="5"/>
        <item x="0"/>
        <item x="4"/>
        <item x="1"/>
        <item t="default"/>
      </items>
    </pivotField>
    <pivotField showAll="0">
      <items count="5">
        <item x="3"/>
        <item x="2"/>
        <item x="1"/>
        <item x="0"/>
        <item t="default"/>
      </items>
    </pivotField>
    <pivotField axis="axisRow" showAll="0">
      <items count="4">
        <item x="2"/>
        <item x="1"/>
        <item x="0"/>
        <item t="default"/>
      </items>
    </pivotField>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4">
    <i>
      <x/>
    </i>
    <i>
      <x v="1"/>
    </i>
    <i>
      <x v="2"/>
    </i>
    <i t="grand">
      <x/>
    </i>
  </rowItems>
  <colItems count="1">
    <i/>
  </colItems>
  <dataFields count="1">
    <dataField name="Sum of Units_Sold" fld="8" baseField="0" baseItem="0"/>
  </dataFields>
  <chartFormats count="2">
    <chartFormat chart="51"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D18BFFE-989B-4C1D-8731-C89F992931BE}" name="PivotTable1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4">
  <location ref="P86:Q95" firstHeaderRow="1" firstDataRow="1" firstDataCol="1"/>
  <pivotFields count="12">
    <pivotField showAll="0"/>
    <pivotField numFmtId="14" showAll="0">
      <items count="265">
        <item x="226"/>
        <item x="87"/>
        <item x="180"/>
        <item x="174"/>
        <item x="136"/>
        <item x="44"/>
        <item x="70"/>
        <item x="215"/>
        <item x="202"/>
        <item x="218"/>
        <item x="114"/>
        <item x="148"/>
        <item x="92"/>
        <item x="49"/>
        <item x="108"/>
        <item x="132"/>
        <item x="171"/>
        <item x="25"/>
        <item x="135"/>
        <item x="250"/>
        <item x="220"/>
        <item x="167"/>
        <item x="247"/>
        <item x="60"/>
        <item x="238"/>
        <item x="204"/>
        <item x="227"/>
        <item x="107"/>
        <item x="126"/>
        <item x="142"/>
        <item x="1"/>
        <item x="128"/>
        <item x="72"/>
        <item x="45"/>
        <item x="68"/>
        <item x="37"/>
        <item x="157"/>
        <item x="81"/>
        <item x="127"/>
        <item x="19"/>
        <item x="161"/>
        <item x="229"/>
        <item x="58"/>
        <item x="232"/>
        <item x="160"/>
        <item x="104"/>
        <item x="41"/>
        <item x="262"/>
        <item x="144"/>
        <item x="244"/>
        <item x="145"/>
        <item x="89"/>
        <item x="217"/>
        <item x="245"/>
        <item x="52"/>
        <item x="179"/>
        <item x="190"/>
        <item x="258"/>
        <item x="65"/>
        <item x="203"/>
        <item x="95"/>
        <item x="77"/>
        <item x="216"/>
        <item x="111"/>
        <item x="67"/>
        <item x="241"/>
        <item x="230"/>
        <item x="193"/>
        <item x="198"/>
        <item x="211"/>
        <item x="76"/>
        <item x="54"/>
        <item x="4"/>
        <item x="2"/>
        <item x="57"/>
        <item x="122"/>
        <item x="256"/>
        <item x="97"/>
        <item x="7"/>
        <item x="118"/>
        <item x="31"/>
        <item x="23"/>
        <item x="101"/>
        <item x="253"/>
        <item x="79"/>
        <item x="74"/>
        <item x="21"/>
        <item x="26"/>
        <item x="121"/>
        <item x="109"/>
        <item x="255"/>
        <item x="183"/>
        <item x="40"/>
        <item x="248"/>
        <item x="200"/>
        <item x="206"/>
        <item x="10"/>
        <item x="133"/>
        <item x="252"/>
        <item x="47"/>
        <item x="141"/>
        <item x="260"/>
        <item x="84"/>
        <item x="6"/>
        <item x="112"/>
        <item x="16"/>
        <item x="197"/>
        <item x="119"/>
        <item x="90"/>
        <item x="46"/>
        <item x="18"/>
        <item x="249"/>
        <item x="125"/>
        <item x="11"/>
        <item x="240"/>
        <item x="158"/>
        <item x="94"/>
        <item x="91"/>
        <item x="131"/>
        <item x="169"/>
        <item x="120"/>
        <item x="50"/>
        <item x="224"/>
        <item x="137"/>
        <item x="168"/>
        <item x="38"/>
        <item x="5"/>
        <item x="192"/>
        <item x="35"/>
        <item x="130"/>
        <item x="153"/>
        <item x="261"/>
        <item x="83"/>
        <item x="143"/>
        <item x="42"/>
        <item x="236"/>
        <item x="199"/>
        <item x="28"/>
        <item x="102"/>
        <item x="243"/>
        <item x="151"/>
        <item x="62"/>
        <item x="210"/>
        <item x="33"/>
        <item x="223"/>
        <item x="13"/>
        <item x="86"/>
        <item x="51"/>
        <item x="185"/>
        <item x="24"/>
        <item x="162"/>
        <item x="124"/>
        <item x="115"/>
        <item x="263"/>
        <item x="207"/>
        <item x="155"/>
        <item x="53"/>
        <item x="48"/>
        <item x="93"/>
        <item x="59"/>
        <item x="110"/>
        <item x="156"/>
        <item x="187"/>
        <item x="189"/>
        <item x="172"/>
        <item x="259"/>
        <item x="231"/>
        <item x="213"/>
        <item x="34"/>
        <item x="27"/>
        <item x="191"/>
        <item x="163"/>
        <item x="15"/>
        <item x="138"/>
        <item x="188"/>
        <item x="175"/>
        <item x="55"/>
        <item x="85"/>
        <item x="147"/>
        <item x="82"/>
        <item x="63"/>
        <item x="106"/>
        <item x="246"/>
        <item x="237"/>
        <item x="196"/>
        <item x="254"/>
        <item x="234"/>
        <item x="257"/>
        <item x="146"/>
        <item x="123"/>
        <item x="99"/>
        <item x="219"/>
        <item x="152"/>
        <item x="154"/>
        <item x="195"/>
        <item x="73"/>
        <item x="233"/>
        <item x="150"/>
        <item x="17"/>
        <item x="71"/>
        <item x="64"/>
        <item x="117"/>
        <item x="100"/>
        <item x="66"/>
        <item x="181"/>
        <item x="166"/>
        <item x="80"/>
        <item x="98"/>
        <item x="205"/>
        <item x="29"/>
        <item x="178"/>
        <item x="43"/>
        <item x="201"/>
        <item x="182"/>
        <item x="221"/>
        <item x="194"/>
        <item x="30"/>
        <item x="32"/>
        <item x="61"/>
        <item x="242"/>
        <item x="3"/>
        <item x="103"/>
        <item x="139"/>
        <item x="170"/>
        <item x="212"/>
        <item x="69"/>
        <item x="96"/>
        <item x="75"/>
        <item x="173"/>
        <item x="149"/>
        <item x="208"/>
        <item x="209"/>
        <item x="105"/>
        <item x="225"/>
        <item x="14"/>
        <item x="176"/>
        <item x="39"/>
        <item x="8"/>
        <item x="0"/>
        <item x="165"/>
        <item x="12"/>
        <item x="140"/>
        <item x="214"/>
        <item x="228"/>
        <item x="184"/>
        <item x="222"/>
        <item x="129"/>
        <item x="164"/>
        <item x="239"/>
        <item x="235"/>
        <item x="116"/>
        <item x="134"/>
        <item x="9"/>
        <item x="113"/>
        <item x="251"/>
        <item x="20"/>
        <item x="56"/>
        <item x="177"/>
        <item x="186"/>
        <item x="36"/>
        <item x="88"/>
        <item x="22"/>
        <item x="159"/>
        <item x="78"/>
        <item t="default"/>
      </items>
    </pivotField>
    <pivotField axis="axisRow" showAll="0">
      <items count="9">
        <item x="5"/>
        <item x="4"/>
        <item x="0"/>
        <item x="6"/>
        <item x="1"/>
        <item x="3"/>
        <item x="2"/>
        <item x="7"/>
        <item t="default"/>
      </items>
    </pivotField>
    <pivotField showAll="0">
      <items count="9">
        <item x="4"/>
        <item x="3"/>
        <item x="0"/>
        <item x="6"/>
        <item x="7"/>
        <item x="1"/>
        <item x="2"/>
        <item x="5"/>
        <item t="default"/>
      </items>
    </pivotField>
    <pivotField showAll="0">
      <items count="9">
        <item x="7"/>
        <item x="3"/>
        <item x="2"/>
        <item x="6"/>
        <item x="5"/>
        <item x="0"/>
        <item x="4"/>
        <item x="1"/>
        <item t="default"/>
      </items>
    </pivotField>
    <pivotField showAll="0">
      <items count="5">
        <item x="3"/>
        <item x="2"/>
        <item x="1"/>
        <item x="0"/>
        <item t="default"/>
      </items>
    </pivotField>
    <pivotField showAll="0">
      <items count="4">
        <item x="2"/>
        <item x="1"/>
        <item x="0"/>
        <item t="default"/>
      </items>
    </pivotField>
    <pivotField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i>
    <i>
      <x v="1"/>
    </i>
    <i>
      <x v="2"/>
    </i>
    <i>
      <x v="3"/>
    </i>
    <i>
      <x v="4"/>
    </i>
    <i>
      <x v="5"/>
    </i>
    <i>
      <x v="6"/>
    </i>
    <i>
      <x v="7"/>
    </i>
    <i t="grand">
      <x/>
    </i>
  </rowItems>
  <colItems count="1">
    <i/>
  </colItems>
  <dataFields count="1">
    <dataField name="Sum of Units_Sold" fld="8" baseField="0" baseItem="0"/>
  </dataFields>
  <chartFormats count="5">
    <chartFormat chart="51" format="0" series="1">
      <pivotArea type="data" outline="0" fieldPosition="0">
        <references count="1">
          <reference field="4294967294" count="1" selected="0">
            <x v="0"/>
          </reference>
        </references>
      </pivotArea>
    </chartFormat>
    <chartFormat chart="54" format="2" series="1">
      <pivotArea type="data" outline="0" fieldPosition="0">
        <references count="1">
          <reference field="4294967294" count="1" selected="0">
            <x v="0"/>
          </reference>
        </references>
      </pivotArea>
    </chartFormat>
    <chartFormat chart="55" format="0" series="1">
      <pivotArea type="data" outline="0" fieldPosition="0">
        <references count="1">
          <reference field="4294967294" count="1" selected="0">
            <x v="0"/>
          </reference>
        </references>
      </pivotArea>
    </chartFormat>
    <chartFormat chart="59" format="1"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5D6F579-57D7-44A7-B42E-4D4BCF2B20D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location ref="P7:Q12" firstHeaderRow="1" firstDataRow="1" firstDataCol="1"/>
  <pivotFields count="12">
    <pivotField showAll="0"/>
    <pivotField numFmtId="14" showAll="0">
      <items count="265">
        <item x="226"/>
        <item x="87"/>
        <item x="180"/>
        <item x="174"/>
        <item x="136"/>
        <item x="44"/>
        <item x="70"/>
        <item x="215"/>
        <item x="202"/>
        <item x="218"/>
        <item x="114"/>
        <item x="148"/>
        <item x="92"/>
        <item x="49"/>
        <item x="108"/>
        <item x="132"/>
        <item x="171"/>
        <item x="25"/>
        <item x="135"/>
        <item x="250"/>
        <item x="220"/>
        <item x="167"/>
        <item x="247"/>
        <item x="60"/>
        <item x="238"/>
        <item x="204"/>
        <item x="227"/>
        <item x="107"/>
        <item x="126"/>
        <item x="142"/>
        <item x="1"/>
        <item x="128"/>
        <item x="72"/>
        <item x="45"/>
        <item x="68"/>
        <item x="37"/>
        <item x="157"/>
        <item x="81"/>
        <item x="127"/>
        <item x="19"/>
        <item x="161"/>
        <item x="229"/>
        <item x="58"/>
        <item x="232"/>
        <item x="160"/>
        <item x="104"/>
        <item x="41"/>
        <item x="262"/>
        <item x="144"/>
        <item x="244"/>
        <item x="145"/>
        <item x="89"/>
        <item x="217"/>
        <item x="245"/>
        <item x="52"/>
        <item x="179"/>
        <item x="190"/>
        <item x="258"/>
        <item x="65"/>
        <item x="203"/>
        <item x="95"/>
        <item x="77"/>
        <item x="216"/>
        <item x="111"/>
        <item x="67"/>
        <item x="241"/>
        <item x="230"/>
        <item x="193"/>
        <item x="198"/>
        <item x="211"/>
        <item x="76"/>
        <item x="54"/>
        <item x="4"/>
        <item x="2"/>
        <item x="57"/>
        <item x="122"/>
        <item x="256"/>
        <item x="97"/>
        <item x="7"/>
        <item x="118"/>
        <item x="31"/>
        <item x="23"/>
        <item x="101"/>
        <item x="253"/>
        <item x="79"/>
        <item x="74"/>
        <item x="21"/>
        <item x="26"/>
        <item x="121"/>
        <item x="109"/>
        <item x="255"/>
        <item x="183"/>
        <item x="40"/>
        <item x="248"/>
        <item x="200"/>
        <item x="206"/>
        <item x="10"/>
        <item x="133"/>
        <item x="252"/>
        <item x="47"/>
        <item x="141"/>
        <item x="260"/>
        <item x="84"/>
        <item x="6"/>
        <item x="112"/>
        <item x="16"/>
        <item x="197"/>
        <item x="119"/>
        <item x="90"/>
        <item x="46"/>
        <item x="18"/>
        <item x="249"/>
        <item x="125"/>
        <item x="11"/>
        <item x="240"/>
        <item x="158"/>
        <item x="94"/>
        <item x="91"/>
        <item x="131"/>
        <item x="169"/>
        <item x="120"/>
        <item x="50"/>
        <item x="224"/>
        <item x="137"/>
        <item x="168"/>
        <item x="38"/>
        <item x="5"/>
        <item x="192"/>
        <item x="35"/>
        <item x="130"/>
        <item x="153"/>
        <item x="261"/>
        <item x="83"/>
        <item x="143"/>
        <item x="42"/>
        <item x="236"/>
        <item x="199"/>
        <item x="28"/>
        <item x="102"/>
        <item x="243"/>
        <item x="151"/>
        <item x="62"/>
        <item x="210"/>
        <item x="33"/>
        <item x="223"/>
        <item x="13"/>
        <item x="86"/>
        <item x="51"/>
        <item x="185"/>
        <item x="24"/>
        <item x="162"/>
        <item x="124"/>
        <item x="115"/>
        <item x="263"/>
        <item x="207"/>
        <item x="155"/>
        <item x="53"/>
        <item x="48"/>
        <item x="93"/>
        <item x="59"/>
        <item x="110"/>
        <item x="156"/>
        <item x="187"/>
        <item x="189"/>
        <item x="172"/>
        <item x="259"/>
        <item x="231"/>
        <item x="213"/>
        <item x="34"/>
        <item x="27"/>
        <item x="191"/>
        <item x="163"/>
        <item x="15"/>
        <item x="138"/>
        <item x="188"/>
        <item x="175"/>
        <item x="55"/>
        <item x="85"/>
        <item x="147"/>
        <item x="82"/>
        <item x="63"/>
        <item x="106"/>
        <item x="246"/>
        <item x="237"/>
        <item x="196"/>
        <item x="254"/>
        <item x="234"/>
        <item x="257"/>
        <item x="146"/>
        <item x="123"/>
        <item x="99"/>
        <item x="219"/>
        <item x="152"/>
        <item x="154"/>
        <item x="195"/>
        <item x="73"/>
        <item x="233"/>
        <item x="150"/>
        <item x="17"/>
        <item x="71"/>
        <item x="64"/>
        <item x="117"/>
        <item x="100"/>
        <item x="66"/>
        <item x="181"/>
        <item x="166"/>
        <item x="80"/>
        <item x="98"/>
        <item x="205"/>
        <item x="29"/>
        <item x="178"/>
        <item x="43"/>
        <item x="201"/>
        <item x="182"/>
        <item x="221"/>
        <item x="194"/>
        <item x="30"/>
        <item x="32"/>
        <item x="61"/>
        <item x="242"/>
        <item x="3"/>
        <item x="103"/>
        <item x="139"/>
        <item x="170"/>
        <item x="212"/>
        <item x="69"/>
        <item x="96"/>
        <item x="75"/>
        <item x="173"/>
        <item x="149"/>
        <item x="208"/>
        <item x="209"/>
        <item x="105"/>
        <item x="225"/>
        <item x="14"/>
        <item x="176"/>
        <item x="39"/>
        <item x="8"/>
        <item x="0"/>
        <item x="165"/>
        <item x="12"/>
        <item x="140"/>
        <item x="214"/>
        <item x="228"/>
        <item x="184"/>
        <item x="222"/>
        <item x="129"/>
        <item x="164"/>
        <item x="239"/>
        <item x="235"/>
        <item x="116"/>
        <item x="134"/>
        <item x="9"/>
        <item x="113"/>
        <item x="251"/>
        <item x="20"/>
        <item x="56"/>
        <item x="177"/>
        <item x="186"/>
        <item x="36"/>
        <item x="88"/>
        <item x="22"/>
        <item x="159"/>
        <item x="78"/>
        <item t="default"/>
      </items>
    </pivotField>
    <pivotField showAll="0">
      <items count="9">
        <item x="5"/>
        <item x="4"/>
        <item x="0"/>
        <item x="6"/>
        <item x="1"/>
        <item x="3"/>
        <item x="2"/>
        <item x="7"/>
        <item t="default"/>
      </items>
    </pivotField>
    <pivotField showAll="0">
      <items count="9">
        <item x="4"/>
        <item x="3"/>
        <item x="0"/>
        <item x="6"/>
        <item x="7"/>
        <item x="1"/>
        <item x="2"/>
        <item x="5"/>
        <item t="default"/>
      </items>
    </pivotField>
    <pivotField showAll="0">
      <items count="9">
        <item x="7"/>
        <item x="3"/>
        <item x="2"/>
        <item x="6"/>
        <item x="5"/>
        <item x="0"/>
        <item x="4"/>
        <item x="1"/>
        <item t="default"/>
      </items>
    </pivotField>
    <pivotField axis="axisRow" showAll="0">
      <items count="5">
        <item x="3"/>
        <item x="2"/>
        <item x="1"/>
        <item x="0"/>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5">
    <i>
      <x/>
    </i>
    <i>
      <x v="1"/>
    </i>
    <i>
      <x v="2"/>
    </i>
    <i>
      <x v="3"/>
    </i>
    <i t="grand">
      <x/>
    </i>
  </rowItems>
  <colItems count="1">
    <i/>
  </colItems>
  <dataFields count="1">
    <dataField name="Sum of Revenue_USD" fld="9" baseField="0" baseItem="0"/>
  </dataFields>
  <chartFormats count="5">
    <chartFormat chart="15" format="0" series="1">
      <pivotArea type="data" outline="0" fieldPosition="0">
        <references count="1">
          <reference field="4294967294" count="1" selected="0">
            <x v="0"/>
          </reference>
        </references>
      </pivotArea>
    </chartFormat>
    <chartFormat chart="18" format="19"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5A12B27-A9EC-4AD0-8038-4D210DAA1422}"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6">
  <location ref="H53:I62" firstHeaderRow="1" firstDataRow="1" firstDataCol="1"/>
  <pivotFields count="12">
    <pivotField showAll="0"/>
    <pivotField numFmtId="14" showAll="0">
      <items count="265">
        <item x="226"/>
        <item x="87"/>
        <item x="180"/>
        <item x="174"/>
        <item x="136"/>
        <item x="44"/>
        <item x="70"/>
        <item x="215"/>
        <item x="202"/>
        <item x="218"/>
        <item x="114"/>
        <item x="148"/>
        <item x="92"/>
        <item x="49"/>
        <item x="108"/>
        <item x="132"/>
        <item x="171"/>
        <item x="25"/>
        <item x="135"/>
        <item x="250"/>
        <item x="220"/>
        <item x="167"/>
        <item x="247"/>
        <item x="60"/>
        <item x="238"/>
        <item x="204"/>
        <item x="227"/>
        <item x="107"/>
        <item x="126"/>
        <item x="142"/>
        <item x="1"/>
        <item x="128"/>
        <item x="72"/>
        <item x="45"/>
        <item x="68"/>
        <item x="37"/>
        <item x="157"/>
        <item x="81"/>
        <item x="127"/>
        <item x="19"/>
        <item x="161"/>
        <item x="229"/>
        <item x="58"/>
        <item x="232"/>
        <item x="160"/>
        <item x="104"/>
        <item x="41"/>
        <item x="262"/>
        <item x="144"/>
        <item x="244"/>
        <item x="145"/>
        <item x="89"/>
        <item x="217"/>
        <item x="245"/>
        <item x="52"/>
        <item x="179"/>
        <item x="190"/>
        <item x="258"/>
        <item x="65"/>
        <item x="203"/>
        <item x="95"/>
        <item x="77"/>
        <item x="216"/>
        <item x="111"/>
        <item x="67"/>
        <item x="241"/>
        <item x="230"/>
        <item x="193"/>
        <item x="198"/>
        <item x="211"/>
        <item x="76"/>
        <item x="54"/>
        <item x="4"/>
        <item x="2"/>
        <item x="57"/>
        <item x="122"/>
        <item x="256"/>
        <item x="97"/>
        <item x="7"/>
        <item x="118"/>
        <item x="31"/>
        <item x="23"/>
        <item x="101"/>
        <item x="253"/>
        <item x="79"/>
        <item x="74"/>
        <item x="21"/>
        <item x="26"/>
        <item x="121"/>
        <item x="109"/>
        <item x="255"/>
        <item x="183"/>
        <item x="40"/>
        <item x="248"/>
        <item x="200"/>
        <item x="206"/>
        <item x="10"/>
        <item x="133"/>
        <item x="252"/>
        <item x="47"/>
        <item x="141"/>
        <item x="260"/>
        <item x="84"/>
        <item x="6"/>
        <item x="112"/>
        <item x="16"/>
        <item x="197"/>
        <item x="119"/>
        <item x="90"/>
        <item x="46"/>
        <item x="18"/>
        <item x="249"/>
        <item x="125"/>
        <item x="11"/>
        <item x="240"/>
        <item x="158"/>
        <item x="94"/>
        <item x="91"/>
        <item x="131"/>
        <item x="169"/>
        <item x="120"/>
        <item x="50"/>
        <item x="224"/>
        <item x="137"/>
        <item x="168"/>
        <item x="38"/>
        <item x="5"/>
        <item x="192"/>
        <item x="35"/>
        <item x="130"/>
        <item x="153"/>
        <item x="261"/>
        <item x="83"/>
        <item x="143"/>
        <item x="42"/>
        <item x="236"/>
        <item x="199"/>
        <item x="28"/>
        <item x="102"/>
        <item x="243"/>
        <item x="151"/>
        <item x="62"/>
        <item x="210"/>
        <item x="33"/>
        <item x="223"/>
        <item x="13"/>
        <item x="86"/>
        <item x="51"/>
        <item x="185"/>
        <item x="24"/>
        <item x="162"/>
        <item x="124"/>
        <item x="115"/>
        <item x="263"/>
        <item x="207"/>
        <item x="155"/>
        <item x="53"/>
        <item x="48"/>
        <item x="93"/>
        <item x="59"/>
        <item x="110"/>
        <item x="156"/>
        <item x="187"/>
        <item x="189"/>
        <item x="172"/>
        <item x="259"/>
        <item x="231"/>
        <item x="213"/>
        <item x="34"/>
        <item x="27"/>
        <item x="191"/>
        <item x="163"/>
        <item x="15"/>
        <item x="138"/>
        <item x="188"/>
        <item x="175"/>
        <item x="55"/>
        <item x="85"/>
        <item x="147"/>
        <item x="82"/>
        <item x="63"/>
        <item x="106"/>
        <item x="246"/>
        <item x="237"/>
        <item x="196"/>
        <item x="254"/>
        <item x="234"/>
        <item x="257"/>
        <item x="146"/>
        <item x="123"/>
        <item x="99"/>
        <item x="219"/>
        <item x="152"/>
        <item x="154"/>
        <item x="195"/>
        <item x="73"/>
        <item x="233"/>
        <item x="150"/>
        <item x="17"/>
        <item x="71"/>
        <item x="64"/>
        <item x="117"/>
        <item x="100"/>
        <item x="66"/>
        <item x="181"/>
        <item x="166"/>
        <item x="80"/>
        <item x="98"/>
        <item x="205"/>
        <item x="29"/>
        <item x="178"/>
        <item x="43"/>
        <item x="201"/>
        <item x="182"/>
        <item x="221"/>
        <item x="194"/>
        <item x="30"/>
        <item x="32"/>
        <item x="61"/>
        <item x="242"/>
        <item x="3"/>
        <item x="103"/>
        <item x="139"/>
        <item x="170"/>
        <item x="212"/>
        <item x="69"/>
        <item x="96"/>
        <item x="75"/>
        <item x="173"/>
        <item x="149"/>
        <item x="208"/>
        <item x="209"/>
        <item x="105"/>
        <item x="225"/>
        <item x="14"/>
        <item x="176"/>
        <item x="39"/>
        <item x="8"/>
        <item x="0"/>
        <item x="165"/>
        <item x="12"/>
        <item x="140"/>
        <item x="214"/>
        <item x="228"/>
        <item x="184"/>
        <item x="222"/>
        <item x="129"/>
        <item x="164"/>
        <item x="239"/>
        <item x="235"/>
        <item x="116"/>
        <item x="134"/>
        <item x="9"/>
        <item x="113"/>
        <item x="251"/>
        <item x="20"/>
        <item x="56"/>
        <item x="177"/>
        <item x="186"/>
        <item x="36"/>
        <item x="88"/>
        <item x="22"/>
        <item x="159"/>
        <item x="78"/>
        <item t="default"/>
      </items>
    </pivotField>
    <pivotField axis="axisRow" showAll="0">
      <items count="9">
        <item x="5"/>
        <item x="4"/>
        <item x="0"/>
        <item x="6"/>
        <item x="1"/>
        <item x="3"/>
        <item x="2"/>
        <item x="7"/>
        <item t="default"/>
      </items>
    </pivotField>
    <pivotField showAll="0">
      <items count="9">
        <item x="4"/>
        <item x="3"/>
        <item x="0"/>
        <item x="6"/>
        <item x="7"/>
        <item x="1"/>
        <item x="2"/>
        <item x="5"/>
        <item t="default"/>
      </items>
    </pivotField>
    <pivotField showAll="0">
      <items count="9">
        <item x="7"/>
        <item x="3"/>
        <item x="2"/>
        <item x="6"/>
        <item x="5"/>
        <item x="0"/>
        <item x="4"/>
        <item x="1"/>
        <item t="default"/>
      </items>
    </pivotField>
    <pivotField showAll="0">
      <items count="5">
        <item x="3"/>
        <item x="2"/>
        <item x="1"/>
        <item x="0"/>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9">
    <i>
      <x/>
    </i>
    <i>
      <x v="1"/>
    </i>
    <i>
      <x v="2"/>
    </i>
    <i>
      <x v="3"/>
    </i>
    <i>
      <x v="4"/>
    </i>
    <i>
      <x v="5"/>
    </i>
    <i>
      <x v="6"/>
    </i>
    <i>
      <x v="7"/>
    </i>
    <i t="grand">
      <x/>
    </i>
  </rowItems>
  <colItems count="1">
    <i/>
  </colItems>
  <dataFields count="1">
    <dataField name="Sum of Revenue_USD" fld="9" baseField="3" baseItem="0"/>
  </dataFields>
  <chartFormats count="5">
    <chartFormat chart="15" format="0" series="1">
      <pivotArea type="data" outline="0" fieldPosition="0">
        <references count="1">
          <reference field="4294967294" count="1" selected="0">
            <x v="0"/>
          </reference>
        </references>
      </pivotArea>
    </chartFormat>
    <chartFormat chart="18" format="19"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DB3B0BA-109D-418F-8132-5149947B001C}" sourceName="Country">
  <pivotTables>
    <pivotTable tabId="6" name="PivotTable10"/>
    <pivotTable tabId="6" name="PivotTable11"/>
    <pivotTable tabId="6" name="PivotTable8"/>
    <pivotTable tabId="6" name="PivotTable9"/>
    <pivotTable tabId="6" name="PivotTable1"/>
    <pivotTable tabId="6" name="PivotTable19"/>
    <pivotTable tabId="6" name="PivotTable2"/>
    <pivotTable tabId="6" name="PivotTable3"/>
    <pivotTable tabId="6" name="PivotTable4"/>
    <pivotTable tabId="6" name="PivotTable5"/>
    <pivotTable tabId="6" name="PivotTable6"/>
    <pivotTable tabId="6" name="PivotTable12"/>
    <pivotTable tabId="6" name="PivotTable13"/>
    <pivotTable tabId="6" name="PivotTable14"/>
    <pivotTable tabId="6" name="PivotTable15"/>
  </pivotTables>
  <data>
    <tabular pivotCacheId="173697590">
      <items count="8">
        <i x="7" s="1"/>
        <i x="3" s="1"/>
        <i x="2" s="1"/>
        <i x="6" s="1"/>
        <i x="5" s="1"/>
        <i x="0"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72018A33-1693-4FFF-8C83-DAD0DBC751FA}" sourceName="Sales_Channel">
  <pivotTables>
    <pivotTable tabId="6" name="PivotTable19"/>
    <pivotTable tabId="6" name="PivotTable1"/>
    <pivotTable tabId="6" name="PivotTable2"/>
    <pivotTable tabId="6" name="PivotTable3"/>
    <pivotTable tabId="6" name="PivotTable4"/>
    <pivotTable tabId="6" name="PivotTable5"/>
    <pivotTable tabId="6" name="PivotTable6"/>
    <pivotTable tabId="6" name="PivotTable8"/>
    <pivotTable tabId="6" name="PivotTable9"/>
    <pivotTable tabId="6" name="PivotTable10"/>
    <pivotTable tabId="6" name="PivotTable11"/>
    <pivotTable tabId="6" name="PivotTable12"/>
    <pivotTable tabId="6" name="PivotTable13"/>
    <pivotTable tabId="6" name="PivotTable14"/>
    <pivotTable tabId="6" name="PivotTable15"/>
  </pivotTables>
  <data>
    <tabular pivotCacheId="173697590">
      <items count="4">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0FFC4001-DA47-4153-AFB6-F6B8CCA257D7}" cache="Slicer_Country" caption="Country" rowHeight="247650"/>
  <slicer name="Sales_Channel" xr10:uid="{5CFC8502-D71E-4103-AAED-F1D209B864D1}" cache="Slicer_Sales_Channel" caption="Sales_Channel"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8B83ABC6-3977-40F6-9987-BEF87685DAB1}" cache="Slicer_Country" caption="Country" rowHeight="247650"/>
  <slicer name="Sales_Channel 1" xr10:uid="{D30666BE-3841-4E13-9799-07EC7617FAB9}" cache="Slicer_Sales_Channel" caption="Sales_Channel"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2" xr10:uid="{E524F5DE-ED83-4015-9C90-C5A4BEF9D8F1}" cache="Slicer_Country" caption="Country" rowHeight="247650"/>
  <slicer name="Sales_Channel 2" xr10:uid="{0D11B584-A3BD-4F93-939F-8CA1BE062E8F}" cache="Slicer_Sales_Channel" caption="Sales_Channel"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3" xr10:uid="{F8BE3809-C26F-4A57-A077-26166A4201C1}" cache="Slicer_Country" caption="Country" rowHeight="247650"/>
  <slicer name="Sales_Channel 3" xr10:uid="{2C613766-8705-4115-AE37-6425C7418A56}" cache="Slicer_Sales_Channel" caption="Sales_Channel"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5053375-6B5D-46F1-83E3-4A503AD70CFE}" sourceName="Date">
  <pivotTables>
    <pivotTable tabId="6" name="PivotTable19"/>
    <pivotTable tabId="6" name="PivotTable1"/>
    <pivotTable tabId="6" name="PivotTable2"/>
    <pivotTable tabId="6" name="PivotTable3"/>
    <pivotTable tabId="6" name="PivotTable4"/>
    <pivotTable tabId="6" name="PivotTable5"/>
    <pivotTable tabId="6" name="PivotTable6"/>
    <pivotTable tabId="6" name="PivotTable8"/>
    <pivotTable tabId="6" name="PivotTable9"/>
    <pivotTable tabId="6" name="PivotTable10"/>
    <pivotTable tabId="6" name="PivotTable11"/>
    <pivotTable tabId="6" name="PivotTable12"/>
    <pivotTable tabId="6" name="PivotTable13"/>
    <pivotTable tabId="6" name="PivotTable14"/>
    <pivotTable tabId="6" name="PivotTable15"/>
  </pivotTables>
  <state minimalRefreshVersion="6" lastRefreshVersion="6" pivotCacheId="173697590"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CEAF955-CC35-40BC-A000-0D8E40B96568}" cache="NativeTimeline_Date" caption="Date" level="2" selectionLevel="2" scrollPosition="2026-05-19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719712D3-29BB-4AC8-BE7B-FDB069CBAAAC}" cache="NativeTimeline_Date" caption="Date" level="2" selectionLevel="2" scrollPosition="2025-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91F5C9A4-5C32-4C04-9E9C-B15FC7BC39BE}" cache="NativeTimeline_Date" caption="Date" level="2" selectionLevel="2" scrollPosition="2026-05-19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00652196-B02E-4A94-9F2D-7A7345E138B5}" cache="NativeTimeline_Date" caption="Date" level="2" selectionLevel="2" scrollPosition="2026-05-19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_rels/sheet4.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55375-02F1-4745-843C-413B7E014656}">
  <dimension ref="A1:AC95"/>
  <sheetViews>
    <sheetView topLeftCell="N4" zoomScale="94" workbookViewId="0">
      <selection activeCell="U8" sqref="U8"/>
    </sheetView>
  </sheetViews>
  <sheetFormatPr defaultRowHeight="14.4" x14ac:dyDescent="0.3"/>
  <cols>
    <col min="1" max="2" width="13" bestFit="1" customWidth="1"/>
    <col min="3" max="4" width="19.33203125" bestFit="1" customWidth="1"/>
    <col min="7" max="7" width="13" bestFit="1" customWidth="1"/>
    <col min="8" max="9" width="19.33203125" bestFit="1" customWidth="1"/>
    <col min="11" max="11" width="13" bestFit="1" customWidth="1"/>
    <col min="12" max="12" width="16.33203125" bestFit="1" customWidth="1"/>
    <col min="13" max="13" width="19.33203125" bestFit="1" customWidth="1"/>
    <col min="14" max="14" width="16.33203125" bestFit="1" customWidth="1"/>
    <col min="16" max="16" width="13" bestFit="1" customWidth="1"/>
    <col min="17" max="17" width="16.33203125" bestFit="1" customWidth="1"/>
    <col min="19" max="19" width="13" bestFit="1" customWidth="1"/>
    <col min="20" max="20" width="19.33203125" bestFit="1" customWidth="1"/>
    <col min="21" max="21" width="13" bestFit="1" customWidth="1"/>
    <col min="22" max="22" width="19.33203125" bestFit="1" customWidth="1"/>
    <col min="28" max="28" width="15" bestFit="1" customWidth="1"/>
    <col min="29" max="29" width="18.5546875" bestFit="1" customWidth="1"/>
  </cols>
  <sheetData>
    <row r="1" spans="1:29" x14ac:dyDescent="0.3">
      <c r="G1" t="s">
        <v>58</v>
      </c>
    </row>
    <row r="2" spans="1:29" x14ac:dyDescent="0.3">
      <c r="A2" t="s">
        <v>57</v>
      </c>
    </row>
    <row r="3" spans="1:29" x14ac:dyDescent="0.3">
      <c r="A3" s="2" t="s">
        <v>42</v>
      </c>
      <c r="B3" t="s">
        <v>56</v>
      </c>
    </row>
    <row r="4" spans="1:29" x14ac:dyDescent="0.3">
      <c r="A4" s="3" t="s">
        <v>44</v>
      </c>
      <c r="B4">
        <v>63184.049999999996</v>
      </c>
    </row>
    <row r="5" spans="1:29" x14ac:dyDescent="0.3">
      <c r="A5" s="3" t="s">
        <v>45</v>
      </c>
      <c r="B5">
        <v>41654.670000000006</v>
      </c>
      <c r="AB5" t="s">
        <v>63</v>
      </c>
    </row>
    <row r="6" spans="1:29" x14ac:dyDescent="0.3">
      <c r="A6" s="3" t="s">
        <v>46</v>
      </c>
      <c r="B6">
        <v>71169.11</v>
      </c>
      <c r="L6" t="s">
        <v>60</v>
      </c>
      <c r="Q6" t="s">
        <v>61</v>
      </c>
      <c r="V6" t="s">
        <v>62</v>
      </c>
      <c r="AB6" t="s">
        <v>64</v>
      </c>
    </row>
    <row r="7" spans="1:29" x14ac:dyDescent="0.3">
      <c r="A7" s="3" t="s">
        <v>47</v>
      </c>
      <c r="B7">
        <v>67298.709999999992</v>
      </c>
      <c r="L7" s="2" t="s">
        <v>42</v>
      </c>
      <c r="M7" t="s">
        <v>56</v>
      </c>
      <c r="P7" s="2" t="s">
        <v>42</v>
      </c>
      <c r="Q7" t="s">
        <v>56</v>
      </c>
      <c r="U7" s="2" t="s">
        <v>42</v>
      </c>
      <c r="V7" t="s">
        <v>56</v>
      </c>
      <c r="AB7" t="s">
        <v>56</v>
      </c>
      <c r="AC7">
        <f>GETPIVOTDATA("Revenue_USD",$AB$7)</f>
        <v>793188.49999999977</v>
      </c>
    </row>
    <row r="8" spans="1:29" x14ac:dyDescent="0.3">
      <c r="A8" s="3" t="s">
        <v>48</v>
      </c>
      <c r="B8">
        <v>69506.680000000008</v>
      </c>
      <c r="L8" s="3" t="s">
        <v>36</v>
      </c>
      <c r="M8">
        <v>89158.260000000009</v>
      </c>
      <c r="P8" s="3" t="s">
        <v>33</v>
      </c>
      <c r="Q8">
        <v>175949.00999999995</v>
      </c>
      <c r="U8" s="3" t="s">
        <v>39</v>
      </c>
      <c r="V8">
        <v>85349.389999999985</v>
      </c>
      <c r="AB8">
        <v>793188.49999999977</v>
      </c>
    </row>
    <row r="9" spans="1:29" x14ac:dyDescent="0.3">
      <c r="A9" s="3" t="s">
        <v>49</v>
      </c>
      <c r="B9">
        <v>98829.22</v>
      </c>
      <c r="L9" s="3" t="s">
        <v>31</v>
      </c>
      <c r="M9">
        <v>98215.87999999999</v>
      </c>
      <c r="P9" s="3" t="s">
        <v>25</v>
      </c>
      <c r="Q9">
        <v>189931.46000000005</v>
      </c>
      <c r="U9" s="3" t="s">
        <v>24</v>
      </c>
      <c r="V9">
        <v>80364.06</v>
      </c>
    </row>
    <row r="10" spans="1:29" x14ac:dyDescent="0.3">
      <c r="A10" s="3" t="s">
        <v>50</v>
      </c>
      <c r="B10">
        <v>60675.030000000006</v>
      </c>
      <c r="L10" s="3" t="s">
        <v>11</v>
      </c>
      <c r="M10">
        <v>104735.62000000001</v>
      </c>
      <c r="P10" s="3" t="s">
        <v>18</v>
      </c>
      <c r="Q10">
        <v>224882.60000000006</v>
      </c>
      <c r="U10" s="3" t="s">
        <v>21</v>
      </c>
      <c r="V10">
        <v>92125.729999999967</v>
      </c>
      <c r="AB10" t="s">
        <v>66</v>
      </c>
    </row>
    <row r="11" spans="1:29" x14ac:dyDescent="0.3">
      <c r="A11" s="3" t="s">
        <v>51</v>
      </c>
      <c r="B11">
        <v>83296.77</v>
      </c>
      <c r="H11" t="s">
        <v>59</v>
      </c>
      <c r="L11" s="3" t="s">
        <v>38</v>
      </c>
      <c r="M11">
        <v>104839.02000000005</v>
      </c>
      <c r="P11" s="3" t="s">
        <v>13</v>
      </c>
      <c r="Q11">
        <v>202425.42999999996</v>
      </c>
      <c r="U11" s="3" t="s">
        <v>34</v>
      </c>
      <c r="V11">
        <v>109638.23000000003</v>
      </c>
      <c r="AB11" t="s">
        <v>65</v>
      </c>
      <c r="AC11">
        <f>GETPIVOTDATA("Sale_ID",$AB$11)</f>
        <v>500</v>
      </c>
    </row>
    <row r="12" spans="1:29" x14ac:dyDescent="0.3">
      <c r="A12" s="3" t="s">
        <v>52</v>
      </c>
      <c r="B12">
        <v>54373.64</v>
      </c>
      <c r="G12" s="2" t="s">
        <v>42</v>
      </c>
      <c r="H12" t="s">
        <v>56</v>
      </c>
      <c r="L12" s="3" t="s">
        <v>40</v>
      </c>
      <c r="M12">
        <v>96756.969999999987</v>
      </c>
      <c r="P12" s="3" t="s">
        <v>43</v>
      </c>
      <c r="Q12">
        <v>793188.5</v>
      </c>
      <c r="U12" s="3" t="s">
        <v>32</v>
      </c>
      <c r="V12">
        <v>120778.08000000002</v>
      </c>
      <c r="AB12">
        <v>500</v>
      </c>
    </row>
    <row r="13" spans="1:29" x14ac:dyDescent="0.3">
      <c r="A13" s="3" t="s">
        <v>53</v>
      </c>
      <c r="B13">
        <v>53388.290000000008</v>
      </c>
      <c r="G13" s="3" t="s">
        <v>28</v>
      </c>
      <c r="H13">
        <v>99810.989999999991</v>
      </c>
      <c r="L13" s="3" t="s">
        <v>16</v>
      </c>
      <c r="M13">
        <v>99516.430000000051</v>
      </c>
      <c r="U13" s="3" t="s">
        <v>12</v>
      </c>
      <c r="V13">
        <v>93567.94</v>
      </c>
    </row>
    <row r="14" spans="1:29" x14ac:dyDescent="0.3">
      <c r="A14" s="3" t="s">
        <v>54</v>
      </c>
      <c r="B14">
        <v>67251.709999999992</v>
      </c>
      <c r="G14" s="3" t="s">
        <v>27</v>
      </c>
      <c r="H14">
        <v>86983.48</v>
      </c>
      <c r="L14" s="3" t="s">
        <v>26</v>
      </c>
      <c r="M14">
        <v>83831.250000000029</v>
      </c>
      <c r="U14" s="3" t="s">
        <v>29</v>
      </c>
      <c r="V14">
        <v>115359.56000000001</v>
      </c>
      <c r="AB14" t="s">
        <v>67</v>
      </c>
    </row>
    <row r="15" spans="1:29" x14ac:dyDescent="0.3">
      <c r="A15" s="3" t="s">
        <v>55</v>
      </c>
      <c r="B15">
        <v>62560.62</v>
      </c>
      <c r="G15" s="3" t="s">
        <v>10</v>
      </c>
      <c r="H15">
        <v>95001.670000000056</v>
      </c>
      <c r="L15" s="3" t="s">
        <v>37</v>
      </c>
      <c r="M15">
        <v>116135.06999999996</v>
      </c>
      <c r="U15" s="3" t="s">
        <v>17</v>
      </c>
      <c r="V15">
        <v>96005.510000000009</v>
      </c>
      <c r="AB15">
        <f>GETPIVOTDATA("Revenue_USD",$AB$7)/GETPIVOTDATA("Sale_ID",$AB$11)</f>
        <v>1586.3769999999995</v>
      </c>
    </row>
    <row r="16" spans="1:29" x14ac:dyDescent="0.3">
      <c r="A16" s="3" t="s">
        <v>43</v>
      </c>
      <c r="B16">
        <v>793188.50000000012</v>
      </c>
      <c r="G16" s="3" t="s">
        <v>30</v>
      </c>
      <c r="H16">
        <v>76357.170000000013</v>
      </c>
      <c r="L16" s="3" t="s">
        <v>43</v>
      </c>
      <c r="M16">
        <v>793188.5</v>
      </c>
      <c r="U16" s="3" t="s">
        <v>43</v>
      </c>
      <c r="V16">
        <v>793188.5</v>
      </c>
    </row>
    <row r="17" spans="7:13" x14ac:dyDescent="0.3">
      <c r="G17" s="3" t="s">
        <v>15</v>
      </c>
      <c r="H17">
        <v>123593.2</v>
      </c>
    </row>
    <row r="18" spans="7:13" x14ac:dyDescent="0.3">
      <c r="G18" s="3" t="s">
        <v>23</v>
      </c>
      <c r="H18">
        <v>155245.81000000006</v>
      </c>
    </row>
    <row r="19" spans="7:13" x14ac:dyDescent="0.3">
      <c r="G19" s="3" t="s">
        <v>20</v>
      </c>
      <c r="H19">
        <v>67403.560000000012</v>
      </c>
    </row>
    <row r="20" spans="7:13" x14ac:dyDescent="0.3">
      <c r="G20" s="3" t="s">
        <v>35</v>
      </c>
      <c r="H20">
        <v>88792.62000000001</v>
      </c>
    </row>
    <row r="21" spans="7:13" x14ac:dyDescent="0.3">
      <c r="G21" s="3" t="s">
        <v>43</v>
      </c>
      <c r="H21">
        <v>793188.50000000012</v>
      </c>
    </row>
    <row r="31" spans="7:13" x14ac:dyDescent="0.3">
      <c r="M31" t="s">
        <v>68</v>
      </c>
    </row>
    <row r="43" spans="4:4" x14ac:dyDescent="0.3">
      <c r="D43" t="s">
        <v>69</v>
      </c>
    </row>
    <row r="51" spans="1:20" x14ac:dyDescent="0.3">
      <c r="I51" t="s">
        <v>71</v>
      </c>
      <c r="T51" t="s">
        <v>74</v>
      </c>
    </row>
    <row r="52" spans="1:20" x14ac:dyDescent="0.3">
      <c r="B52" t="s">
        <v>70</v>
      </c>
      <c r="N52" t="s">
        <v>73</v>
      </c>
    </row>
    <row r="53" spans="1:20" x14ac:dyDescent="0.3">
      <c r="A53" s="2" t="s">
        <v>42</v>
      </c>
      <c r="B53" t="s">
        <v>56</v>
      </c>
      <c r="H53" s="2" t="s">
        <v>42</v>
      </c>
      <c r="I53" t="s">
        <v>56</v>
      </c>
      <c r="M53" s="2" t="s">
        <v>42</v>
      </c>
      <c r="N53" t="s">
        <v>72</v>
      </c>
      <c r="S53" s="2" t="s">
        <v>42</v>
      </c>
      <c r="T53" t="s">
        <v>56</v>
      </c>
    </row>
    <row r="54" spans="1:20" x14ac:dyDescent="0.3">
      <c r="A54" s="3" t="s">
        <v>36</v>
      </c>
      <c r="B54">
        <v>89158.260000000009</v>
      </c>
      <c r="H54" s="3" t="s">
        <v>28</v>
      </c>
      <c r="I54">
        <v>99810.989999999991</v>
      </c>
      <c r="M54" s="3" t="s">
        <v>36</v>
      </c>
      <c r="N54">
        <v>1453</v>
      </c>
      <c r="S54" s="3" t="s">
        <v>36</v>
      </c>
      <c r="T54">
        <v>89158.260000000009</v>
      </c>
    </row>
    <row r="55" spans="1:20" x14ac:dyDescent="0.3">
      <c r="A55" s="3" t="s">
        <v>31</v>
      </c>
      <c r="B55">
        <v>98215.87999999999</v>
      </c>
      <c r="H55" s="3" t="s">
        <v>27</v>
      </c>
      <c r="I55">
        <v>86983.48</v>
      </c>
      <c r="M55" s="3" t="s">
        <v>31</v>
      </c>
      <c r="N55">
        <v>1352</v>
      </c>
      <c r="S55" s="3" t="s">
        <v>31</v>
      </c>
      <c r="T55">
        <v>98215.87999999999</v>
      </c>
    </row>
    <row r="56" spans="1:20" x14ac:dyDescent="0.3">
      <c r="A56" s="3" t="s">
        <v>11</v>
      </c>
      <c r="B56">
        <v>104735.62000000001</v>
      </c>
      <c r="H56" s="3" t="s">
        <v>10</v>
      </c>
      <c r="I56">
        <v>95001.670000000056</v>
      </c>
      <c r="M56" s="3" t="s">
        <v>11</v>
      </c>
      <c r="N56">
        <v>1646</v>
      </c>
      <c r="S56" s="3" t="s">
        <v>11</v>
      </c>
      <c r="T56">
        <v>104735.62000000001</v>
      </c>
    </row>
    <row r="57" spans="1:20" x14ac:dyDescent="0.3">
      <c r="A57" s="3" t="s">
        <v>38</v>
      </c>
      <c r="B57">
        <v>104839.02000000005</v>
      </c>
      <c r="H57" s="3" t="s">
        <v>30</v>
      </c>
      <c r="I57">
        <v>76357.170000000013</v>
      </c>
      <c r="M57" s="3" t="s">
        <v>38</v>
      </c>
      <c r="N57">
        <v>1716</v>
      </c>
      <c r="S57" s="3" t="s">
        <v>38</v>
      </c>
      <c r="T57">
        <v>104839.02000000005</v>
      </c>
    </row>
    <row r="58" spans="1:20" x14ac:dyDescent="0.3">
      <c r="A58" s="3" t="s">
        <v>40</v>
      </c>
      <c r="B58">
        <v>96756.969999999987</v>
      </c>
      <c r="H58" s="3" t="s">
        <v>15</v>
      </c>
      <c r="I58">
        <v>123593.2</v>
      </c>
      <c r="M58" s="3" t="s">
        <v>40</v>
      </c>
      <c r="N58">
        <v>1523</v>
      </c>
      <c r="S58" s="3" t="s">
        <v>40</v>
      </c>
      <c r="T58">
        <v>96756.969999999987</v>
      </c>
    </row>
    <row r="59" spans="1:20" x14ac:dyDescent="0.3">
      <c r="A59" s="3" t="s">
        <v>16</v>
      </c>
      <c r="B59">
        <v>99516.430000000051</v>
      </c>
      <c r="H59" s="3" t="s">
        <v>23</v>
      </c>
      <c r="I59">
        <v>155245.81000000006</v>
      </c>
      <c r="M59" s="3" t="s">
        <v>16</v>
      </c>
      <c r="N59">
        <v>1526</v>
      </c>
      <c r="S59" s="3" t="s">
        <v>16</v>
      </c>
      <c r="T59">
        <v>99516.430000000051</v>
      </c>
    </row>
    <row r="60" spans="1:20" x14ac:dyDescent="0.3">
      <c r="A60" s="3" t="s">
        <v>26</v>
      </c>
      <c r="B60">
        <v>83831.250000000029</v>
      </c>
      <c r="H60" s="3" t="s">
        <v>20</v>
      </c>
      <c r="I60">
        <v>67403.560000000012</v>
      </c>
      <c r="M60" s="3" t="s">
        <v>26</v>
      </c>
      <c r="N60">
        <v>1592</v>
      </c>
      <c r="S60" s="3" t="s">
        <v>26</v>
      </c>
      <c r="T60">
        <v>83831.250000000029</v>
      </c>
    </row>
    <row r="61" spans="1:20" x14ac:dyDescent="0.3">
      <c r="A61" s="3" t="s">
        <v>37</v>
      </c>
      <c r="B61">
        <v>116135.06999999996</v>
      </c>
      <c r="H61" s="3" t="s">
        <v>35</v>
      </c>
      <c r="I61">
        <v>88792.62000000001</v>
      </c>
      <c r="M61" s="3" t="s">
        <v>37</v>
      </c>
      <c r="N61">
        <v>1900</v>
      </c>
      <c r="S61" s="3" t="s">
        <v>37</v>
      </c>
      <c r="T61">
        <v>116135.06999999996</v>
      </c>
    </row>
    <row r="62" spans="1:20" x14ac:dyDescent="0.3">
      <c r="A62" s="3" t="s">
        <v>43</v>
      </c>
      <c r="B62">
        <v>793188.5</v>
      </c>
      <c r="H62" s="3" t="s">
        <v>43</v>
      </c>
      <c r="I62">
        <v>793188.50000000012</v>
      </c>
      <c r="M62" s="3" t="s">
        <v>43</v>
      </c>
      <c r="N62">
        <v>12708</v>
      </c>
      <c r="S62" s="3" t="s">
        <v>43</v>
      </c>
      <c r="T62">
        <v>793188.5</v>
      </c>
    </row>
    <row r="82" spans="2:17" ht="31.2" x14ac:dyDescent="0.6">
      <c r="C82" t="s">
        <v>76</v>
      </c>
      <c r="H82" t="s">
        <v>77</v>
      </c>
      <c r="N82" s="5" t="s">
        <v>75</v>
      </c>
    </row>
    <row r="84" spans="2:17" x14ac:dyDescent="0.3">
      <c r="B84" s="2" t="s">
        <v>42</v>
      </c>
      <c r="C84" t="s">
        <v>56</v>
      </c>
      <c r="G84" s="2" t="s">
        <v>42</v>
      </c>
      <c r="H84" t="s">
        <v>56</v>
      </c>
      <c r="L84" s="4" t="s">
        <v>78</v>
      </c>
      <c r="Q84" t="s">
        <v>79</v>
      </c>
    </row>
    <row r="85" spans="2:17" x14ac:dyDescent="0.3">
      <c r="B85" s="3" t="s">
        <v>22</v>
      </c>
      <c r="C85">
        <v>282921.9599999999</v>
      </c>
      <c r="G85" s="3" t="s">
        <v>39</v>
      </c>
      <c r="H85">
        <v>85349.389999999985</v>
      </c>
      <c r="K85" s="3"/>
    </row>
    <row r="86" spans="2:17" x14ac:dyDescent="0.3">
      <c r="B86" s="3" t="s">
        <v>19</v>
      </c>
      <c r="C86">
        <v>219738.83000000007</v>
      </c>
      <c r="G86" s="3" t="s">
        <v>24</v>
      </c>
      <c r="H86">
        <v>80364.06</v>
      </c>
      <c r="K86" s="2" t="s">
        <v>42</v>
      </c>
      <c r="L86" t="s">
        <v>72</v>
      </c>
      <c r="P86" s="2" t="s">
        <v>42</v>
      </c>
      <c r="Q86" t="s">
        <v>72</v>
      </c>
    </row>
    <row r="87" spans="2:17" x14ac:dyDescent="0.3">
      <c r="B87" s="3" t="s">
        <v>14</v>
      </c>
      <c r="C87">
        <v>290527.70999999996</v>
      </c>
      <c r="G87" s="3" t="s">
        <v>21</v>
      </c>
      <c r="H87">
        <v>92125.729999999967</v>
      </c>
      <c r="K87" s="3" t="s">
        <v>22</v>
      </c>
      <c r="L87">
        <v>4592</v>
      </c>
      <c r="P87" s="3" t="s">
        <v>28</v>
      </c>
      <c r="Q87">
        <v>1442</v>
      </c>
    </row>
    <row r="88" spans="2:17" x14ac:dyDescent="0.3">
      <c r="B88" s="3" t="s">
        <v>43</v>
      </c>
      <c r="C88">
        <v>793188.5</v>
      </c>
      <c r="G88" s="3" t="s">
        <v>34</v>
      </c>
      <c r="H88">
        <v>109638.23000000003</v>
      </c>
      <c r="K88" s="3" t="s">
        <v>19</v>
      </c>
      <c r="L88">
        <v>3593</v>
      </c>
      <c r="P88" s="3" t="s">
        <v>27</v>
      </c>
      <c r="Q88">
        <v>1492</v>
      </c>
    </row>
    <row r="89" spans="2:17" x14ac:dyDescent="0.3">
      <c r="G89" s="3" t="s">
        <v>32</v>
      </c>
      <c r="H89">
        <v>120778.08000000002</v>
      </c>
      <c r="K89" s="3" t="s">
        <v>14</v>
      </c>
      <c r="L89">
        <v>4523</v>
      </c>
      <c r="P89" s="3" t="s">
        <v>10</v>
      </c>
      <c r="Q89">
        <v>1569</v>
      </c>
    </row>
    <row r="90" spans="2:17" x14ac:dyDescent="0.3">
      <c r="G90" s="3" t="s">
        <v>12</v>
      </c>
      <c r="H90">
        <v>93567.94</v>
      </c>
      <c r="K90" s="3" t="s">
        <v>43</v>
      </c>
      <c r="L90">
        <v>12708</v>
      </c>
      <c r="P90" s="3" t="s">
        <v>30</v>
      </c>
      <c r="Q90">
        <v>1394</v>
      </c>
    </row>
    <row r="91" spans="2:17" x14ac:dyDescent="0.3">
      <c r="G91" s="3" t="s">
        <v>29</v>
      </c>
      <c r="H91">
        <v>115359.56000000001</v>
      </c>
      <c r="P91" s="3" t="s">
        <v>15</v>
      </c>
      <c r="Q91">
        <v>1819</v>
      </c>
    </row>
    <row r="92" spans="2:17" x14ac:dyDescent="0.3">
      <c r="G92" s="3" t="s">
        <v>17</v>
      </c>
      <c r="H92">
        <v>96005.510000000009</v>
      </c>
      <c r="P92" s="3" t="s">
        <v>23</v>
      </c>
      <c r="Q92">
        <v>2155</v>
      </c>
    </row>
    <row r="93" spans="2:17" x14ac:dyDescent="0.3">
      <c r="G93" s="3" t="s">
        <v>43</v>
      </c>
      <c r="H93">
        <v>793188.5</v>
      </c>
      <c r="P93" s="3" t="s">
        <v>20</v>
      </c>
      <c r="Q93">
        <v>1178</v>
      </c>
    </row>
    <row r="94" spans="2:17" x14ac:dyDescent="0.3">
      <c r="P94" s="3" t="s">
        <v>35</v>
      </c>
      <c r="Q94">
        <v>1659</v>
      </c>
    </row>
    <row r="95" spans="2:17" x14ac:dyDescent="0.3">
      <c r="P95" s="3" t="s">
        <v>43</v>
      </c>
      <c r="Q95">
        <v>12708</v>
      </c>
    </row>
  </sheetData>
  <pageMargins left="0.7" right="0.7" top="0.75" bottom="0.75" header="0.3" footer="0.3"/>
  <drawing r:id="rId16"/>
  <extLst>
    <ext xmlns:x14="http://schemas.microsoft.com/office/spreadsheetml/2009/9/main" uri="{A8765BA9-456A-4dab-B4F3-ACF838C121DE}">
      <x14:slicerList>
        <x14:slicer r:id="rId17"/>
      </x14:slicerList>
    </ext>
    <ext xmlns:x15="http://schemas.microsoft.com/office/spreadsheetml/2010/11/main" uri="{7E03D99C-DC04-49d9-9315-930204A7B6E9}">
      <x15:timelineRefs>
        <x15:timelineRef r:id="rId1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E544D-1320-4BFE-BCE4-28FFA90D4FAB}">
  <dimension ref="A1:J501"/>
  <sheetViews>
    <sheetView workbookViewId="0">
      <selection activeCell="G10" sqref="G10"/>
    </sheetView>
  </sheetViews>
  <sheetFormatPr defaultRowHeight="14.4" x14ac:dyDescent="0.3"/>
  <cols>
    <col min="2" max="2" width="10.33203125" style="1" bestFit="1" customWidth="1"/>
    <col min="3" max="3" width="11.33203125" bestFit="1" customWidth="1"/>
    <col min="4" max="4" width="11.77734375" bestFit="1" customWidth="1"/>
    <col min="5" max="5" width="11" bestFit="1" customWidth="1"/>
    <col min="6" max="6" width="12.77734375" bestFit="1" customWidth="1"/>
    <col min="7" max="7" width="14.88671875" bestFit="1" customWidth="1"/>
    <col min="9" max="9" width="9.33203125" bestFit="1" customWidth="1"/>
    <col min="10" max="10" width="12.109375" bestFit="1" customWidth="1"/>
  </cols>
  <sheetData>
    <row r="1" spans="1:10" x14ac:dyDescent="0.3">
      <c r="A1" t="s">
        <v>0</v>
      </c>
      <c r="B1" s="1" t="s">
        <v>1</v>
      </c>
      <c r="C1" t="s">
        <v>2</v>
      </c>
      <c r="D1" t="s">
        <v>3</v>
      </c>
      <c r="E1" t="s">
        <v>4</v>
      </c>
      <c r="F1" t="s">
        <v>5</v>
      </c>
      <c r="G1" t="s">
        <v>6</v>
      </c>
      <c r="H1" t="s">
        <v>7</v>
      </c>
      <c r="I1" t="s">
        <v>8</v>
      </c>
      <c r="J1" t="s">
        <v>9</v>
      </c>
    </row>
    <row r="2" spans="1:10" x14ac:dyDescent="0.3">
      <c r="A2">
        <v>1</v>
      </c>
      <c r="B2" s="1">
        <v>45985</v>
      </c>
      <c r="C2" t="s">
        <v>10</v>
      </c>
      <c r="D2" t="s">
        <v>11</v>
      </c>
      <c r="E2" t="s">
        <v>12</v>
      </c>
      <c r="F2" t="s">
        <v>13</v>
      </c>
      <c r="G2" t="s">
        <v>14</v>
      </c>
      <c r="H2">
        <v>17.8</v>
      </c>
      <c r="I2">
        <v>48</v>
      </c>
      <c r="J2">
        <v>854.4</v>
      </c>
    </row>
    <row r="3" spans="1:10" x14ac:dyDescent="0.3">
      <c r="A3">
        <v>2</v>
      </c>
      <c r="B3" s="1">
        <v>45710</v>
      </c>
      <c r="C3" t="s">
        <v>15</v>
      </c>
      <c r="D3" t="s">
        <v>16</v>
      </c>
      <c r="E3" t="s">
        <v>17</v>
      </c>
      <c r="F3" t="s">
        <v>18</v>
      </c>
      <c r="G3" t="s">
        <v>19</v>
      </c>
      <c r="H3">
        <v>82.82</v>
      </c>
      <c r="I3">
        <v>35</v>
      </c>
      <c r="J3">
        <v>2898.7</v>
      </c>
    </row>
    <row r="4" spans="1:10" x14ac:dyDescent="0.3">
      <c r="A4">
        <v>3</v>
      </c>
      <c r="B4" s="1">
        <v>45769</v>
      </c>
      <c r="C4" t="s">
        <v>20</v>
      </c>
      <c r="D4" t="s">
        <v>11</v>
      </c>
      <c r="E4" t="s">
        <v>21</v>
      </c>
      <c r="F4" t="s">
        <v>13</v>
      </c>
      <c r="G4" t="s">
        <v>22</v>
      </c>
      <c r="H4">
        <v>31.76</v>
      </c>
      <c r="I4">
        <v>39</v>
      </c>
      <c r="J4">
        <v>1238.6400000000001</v>
      </c>
    </row>
    <row r="5" spans="1:10" x14ac:dyDescent="0.3">
      <c r="A5">
        <v>4</v>
      </c>
      <c r="B5" s="1">
        <v>45959</v>
      </c>
      <c r="C5" t="s">
        <v>23</v>
      </c>
      <c r="D5" t="s">
        <v>16</v>
      </c>
      <c r="E5" t="s">
        <v>24</v>
      </c>
      <c r="F5" t="s">
        <v>25</v>
      </c>
      <c r="G5" t="s">
        <v>19</v>
      </c>
      <c r="H5">
        <v>36.99</v>
      </c>
      <c r="I5">
        <v>1</v>
      </c>
      <c r="J5">
        <v>36.99</v>
      </c>
    </row>
    <row r="6" spans="1:10" x14ac:dyDescent="0.3">
      <c r="A6">
        <v>5</v>
      </c>
      <c r="B6" s="1">
        <v>45768</v>
      </c>
      <c r="C6" t="s">
        <v>15</v>
      </c>
      <c r="D6" t="s">
        <v>26</v>
      </c>
      <c r="E6" t="s">
        <v>21</v>
      </c>
      <c r="F6" t="s">
        <v>18</v>
      </c>
      <c r="G6" t="s">
        <v>22</v>
      </c>
      <c r="H6">
        <v>115.08</v>
      </c>
      <c r="I6">
        <v>22</v>
      </c>
      <c r="J6">
        <v>2531.7600000000002</v>
      </c>
    </row>
    <row r="7" spans="1:10" x14ac:dyDescent="0.3">
      <c r="A7">
        <v>6</v>
      </c>
      <c r="B7" s="1">
        <v>45834</v>
      </c>
      <c r="C7" t="s">
        <v>27</v>
      </c>
      <c r="D7" t="s">
        <v>26</v>
      </c>
      <c r="E7" t="s">
        <v>21</v>
      </c>
      <c r="F7" t="s">
        <v>18</v>
      </c>
      <c r="G7" t="s">
        <v>14</v>
      </c>
      <c r="H7">
        <v>74.430000000000007</v>
      </c>
      <c r="I7">
        <v>3</v>
      </c>
      <c r="J7">
        <v>223.29</v>
      </c>
    </row>
    <row r="8" spans="1:10" x14ac:dyDescent="0.3">
      <c r="A8">
        <v>7</v>
      </c>
      <c r="B8" s="1">
        <v>45808</v>
      </c>
      <c r="C8" t="s">
        <v>28</v>
      </c>
      <c r="D8" t="s">
        <v>11</v>
      </c>
      <c r="E8" t="s">
        <v>29</v>
      </c>
      <c r="F8" t="s">
        <v>18</v>
      </c>
      <c r="G8" t="s">
        <v>14</v>
      </c>
      <c r="H8">
        <v>100.38</v>
      </c>
      <c r="I8">
        <v>40</v>
      </c>
      <c r="J8">
        <v>4015.2</v>
      </c>
    </row>
    <row r="9" spans="1:10" x14ac:dyDescent="0.3">
      <c r="A9">
        <v>8</v>
      </c>
      <c r="B9" s="1">
        <v>45774</v>
      </c>
      <c r="C9" t="s">
        <v>30</v>
      </c>
      <c r="D9" t="s">
        <v>26</v>
      </c>
      <c r="E9" t="s">
        <v>21</v>
      </c>
      <c r="F9" t="s">
        <v>25</v>
      </c>
      <c r="G9" t="s">
        <v>22</v>
      </c>
      <c r="H9">
        <v>93.9</v>
      </c>
      <c r="I9">
        <v>6</v>
      </c>
      <c r="J9">
        <v>563.4</v>
      </c>
    </row>
    <row r="10" spans="1:10" x14ac:dyDescent="0.3">
      <c r="A10">
        <v>9</v>
      </c>
      <c r="B10" s="1">
        <v>45983</v>
      </c>
      <c r="C10" t="s">
        <v>28</v>
      </c>
      <c r="D10" t="s">
        <v>31</v>
      </c>
      <c r="E10" t="s">
        <v>12</v>
      </c>
      <c r="F10" t="s">
        <v>25</v>
      </c>
      <c r="G10" t="s">
        <v>14</v>
      </c>
      <c r="H10">
        <v>100.92</v>
      </c>
      <c r="I10">
        <v>11</v>
      </c>
      <c r="J10">
        <v>1110.1199999999999</v>
      </c>
    </row>
    <row r="11" spans="1:10" x14ac:dyDescent="0.3">
      <c r="A11">
        <v>10</v>
      </c>
      <c r="B11" s="1">
        <v>46007</v>
      </c>
      <c r="C11" t="s">
        <v>23</v>
      </c>
      <c r="D11" t="s">
        <v>11</v>
      </c>
      <c r="E11" t="s">
        <v>32</v>
      </c>
      <c r="F11" t="s">
        <v>33</v>
      </c>
      <c r="G11" t="s">
        <v>22</v>
      </c>
      <c r="H11">
        <v>79.52</v>
      </c>
      <c r="I11">
        <v>39</v>
      </c>
      <c r="J11">
        <v>3101.28</v>
      </c>
    </row>
    <row r="12" spans="1:10" x14ac:dyDescent="0.3">
      <c r="A12">
        <v>11</v>
      </c>
      <c r="B12" s="1">
        <v>45796</v>
      </c>
      <c r="C12" t="s">
        <v>30</v>
      </c>
      <c r="D12" t="s">
        <v>31</v>
      </c>
      <c r="E12" t="s">
        <v>17</v>
      </c>
      <c r="F12" t="s">
        <v>13</v>
      </c>
      <c r="G12" t="s">
        <v>19</v>
      </c>
      <c r="H12">
        <v>118.8</v>
      </c>
      <c r="I12">
        <v>41</v>
      </c>
      <c r="J12">
        <v>4870.8</v>
      </c>
    </row>
    <row r="13" spans="1:10" x14ac:dyDescent="0.3">
      <c r="A13">
        <v>12</v>
      </c>
      <c r="B13" s="1">
        <v>45819</v>
      </c>
      <c r="C13" t="s">
        <v>30</v>
      </c>
      <c r="D13" t="s">
        <v>31</v>
      </c>
      <c r="E13" t="s">
        <v>12</v>
      </c>
      <c r="F13" t="s">
        <v>33</v>
      </c>
      <c r="G13" t="s">
        <v>22</v>
      </c>
      <c r="H13">
        <v>51.13</v>
      </c>
      <c r="I13">
        <v>5</v>
      </c>
      <c r="J13">
        <v>255.65</v>
      </c>
    </row>
    <row r="14" spans="1:10" x14ac:dyDescent="0.3">
      <c r="A14">
        <v>13</v>
      </c>
      <c r="B14" s="1">
        <v>45987</v>
      </c>
      <c r="C14" t="s">
        <v>23</v>
      </c>
      <c r="D14" t="s">
        <v>11</v>
      </c>
      <c r="E14" t="s">
        <v>34</v>
      </c>
      <c r="F14" t="s">
        <v>33</v>
      </c>
      <c r="G14" t="s">
        <v>14</v>
      </c>
      <c r="H14">
        <v>57.77</v>
      </c>
      <c r="I14">
        <v>17</v>
      </c>
      <c r="J14">
        <v>982.09</v>
      </c>
    </row>
    <row r="15" spans="1:10" x14ac:dyDescent="0.3">
      <c r="A15">
        <v>14</v>
      </c>
      <c r="B15" s="1">
        <v>45862</v>
      </c>
      <c r="C15" t="s">
        <v>27</v>
      </c>
      <c r="D15" t="s">
        <v>26</v>
      </c>
      <c r="E15" t="s">
        <v>17</v>
      </c>
      <c r="F15" t="s">
        <v>18</v>
      </c>
      <c r="G15" t="s">
        <v>19</v>
      </c>
      <c r="H15">
        <v>46.63</v>
      </c>
      <c r="I15">
        <v>9</v>
      </c>
      <c r="J15">
        <v>419.67</v>
      </c>
    </row>
    <row r="16" spans="1:10" x14ac:dyDescent="0.3">
      <c r="A16">
        <v>15</v>
      </c>
      <c r="B16" s="1">
        <v>45979</v>
      </c>
      <c r="C16" t="s">
        <v>35</v>
      </c>
      <c r="D16" t="s">
        <v>26</v>
      </c>
      <c r="E16" t="s">
        <v>21</v>
      </c>
      <c r="F16" t="s">
        <v>33</v>
      </c>
      <c r="G16" t="s">
        <v>14</v>
      </c>
      <c r="H16">
        <v>23.4</v>
      </c>
      <c r="I16">
        <v>44</v>
      </c>
      <c r="J16">
        <v>1029.5999999999999</v>
      </c>
    </row>
    <row r="17" spans="1:10" x14ac:dyDescent="0.3">
      <c r="A17">
        <v>16</v>
      </c>
      <c r="B17" s="1">
        <v>45897</v>
      </c>
      <c r="C17" t="s">
        <v>20</v>
      </c>
      <c r="D17" t="s">
        <v>26</v>
      </c>
      <c r="E17" t="s">
        <v>34</v>
      </c>
      <c r="F17" t="s">
        <v>25</v>
      </c>
      <c r="G17" t="s">
        <v>19</v>
      </c>
      <c r="H17">
        <v>65.849999999999994</v>
      </c>
      <c r="I17">
        <v>36</v>
      </c>
      <c r="J17">
        <v>2370.6</v>
      </c>
    </row>
    <row r="18" spans="1:10" x14ac:dyDescent="0.3">
      <c r="A18">
        <v>17</v>
      </c>
      <c r="B18" s="1">
        <v>45808</v>
      </c>
      <c r="C18" t="s">
        <v>20</v>
      </c>
      <c r="D18" t="s">
        <v>36</v>
      </c>
      <c r="E18" t="s">
        <v>32</v>
      </c>
      <c r="F18" t="s">
        <v>18</v>
      </c>
      <c r="G18" t="s">
        <v>14</v>
      </c>
      <c r="H18">
        <v>55</v>
      </c>
      <c r="I18">
        <v>30</v>
      </c>
      <c r="J18">
        <v>1650</v>
      </c>
    </row>
    <row r="19" spans="1:10" x14ac:dyDescent="0.3">
      <c r="A19">
        <v>18</v>
      </c>
      <c r="B19" s="1">
        <v>45810</v>
      </c>
      <c r="C19" t="s">
        <v>30</v>
      </c>
      <c r="D19" t="s">
        <v>37</v>
      </c>
      <c r="E19" t="s">
        <v>24</v>
      </c>
      <c r="F19" t="s">
        <v>13</v>
      </c>
      <c r="G19" t="s">
        <v>14</v>
      </c>
      <c r="H19">
        <v>101.79</v>
      </c>
      <c r="I19">
        <v>33</v>
      </c>
      <c r="J19">
        <v>3359.07</v>
      </c>
    </row>
    <row r="20" spans="1:10" x14ac:dyDescent="0.3">
      <c r="A20">
        <v>19</v>
      </c>
      <c r="B20" s="1">
        <v>45929</v>
      </c>
      <c r="C20" t="s">
        <v>28</v>
      </c>
      <c r="D20" t="s">
        <v>38</v>
      </c>
      <c r="E20" t="s">
        <v>17</v>
      </c>
      <c r="F20" t="s">
        <v>18</v>
      </c>
      <c r="G20" t="s">
        <v>22</v>
      </c>
      <c r="H20">
        <v>110.63</v>
      </c>
      <c r="I20">
        <v>39</v>
      </c>
      <c r="J20">
        <v>4314.57</v>
      </c>
    </row>
    <row r="21" spans="1:10" x14ac:dyDescent="0.3">
      <c r="A21">
        <v>20</v>
      </c>
      <c r="B21" s="1">
        <v>45815</v>
      </c>
      <c r="C21" t="s">
        <v>15</v>
      </c>
      <c r="D21" t="s">
        <v>26</v>
      </c>
      <c r="E21" t="s">
        <v>39</v>
      </c>
      <c r="F21" t="s">
        <v>18</v>
      </c>
      <c r="G21" t="s">
        <v>14</v>
      </c>
      <c r="H21">
        <v>32.54</v>
      </c>
      <c r="I21">
        <v>16</v>
      </c>
      <c r="J21">
        <v>520.64</v>
      </c>
    </row>
    <row r="22" spans="1:10" x14ac:dyDescent="0.3">
      <c r="A22">
        <v>21</v>
      </c>
      <c r="B22" s="1">
        <v>45722</v>
      </c>
      <c r="C22" t="s">
        <v>23</v>
      </c>
      <c r="D22" t="s">
        <v>36</v>
      </c>
      <c r="E22" t="s">
        <v>21</v>
      </c>
      <c r="F22" t="s">
        <v>13</v>
      </c>
      <c r="G22" t="s">
        <v>14</v>
      </c>
      <c r="H22">
        <v>19.77</v>
      </c>
      <c r="I22">
        <v>31</v>
      </c>
      <c r="J22">
        <v>612.87</v>
      </c>
    </row>
    <row r="23" spans="1:10" x14ac:dyDescent="0.3">
      <c r="A23">
        <v>22</v>
      </c>
      <c r="B23" s="1">
        <v>46011</v>
      </c>
      <c r="C23" t="s">
        <v>35</v>
      </c>
      <c r="D23" t="s">
        <v>31</v>
      </c>
      <c r="E23" t="s">
        <v>39</v>
      </c>
      <c r="F23" t="s">
        <v>33</v>
      </c>
      <c r="G23" t="s">
        <v>19</v>
      </c>
      <c r="H23">
        <v>28.13</v>
      </c>
      <c r="I23">
        <v>20</v>
      </c>
      <c r="J23">
        <v>562.6</v>
      </c>
    </row>
    <row r="24" spans="1:10" x14ac:dyDescent="0.3">
      <c r="A24">
        <v>23</v>
      </c>
      <c r="B24" s="1">
        <v>45784</v>
      </c>
      <c r="C24" t="s">
        <v>20</v>
      </c>
      <c r="D24" t="s">
        <v>11</v>
      </c>
      <c r="E24" t="s">
        <v>12</v>
      </c>
      <c r="F24" t="s">
        <v>18</v>
      </c>
      <c r="G24" t="s">
        <v>19</v>
      </c>
      <c r="H24">
        <v>30.84</v>
      </c>
      <c r="I24">
        <v>22</v>
      </c>
      <c r="J24">
        <v>678.48</v>
      </c>
    </row>
    <row r="25" spans="1:10" x14ac:dyDescent="0.3">
      <c r="A25">
        <v>24</v>
      </c>
      <c r="B25" s="1">
        <v>46020</v>
      </c>
      <c r="C25" t="s">
        <v>15</v>
      </c>
      <c r="D25" t="s">
        <v>40</v>
      </c>
      <c r="E25" t="s">
        <v>24</v>
      </c>
      <c r="F25" t="s">
        <v>18</v>
      </c>
      <c r="G25" t="s">
        <v>14</v>
      </c>
      <c r="H25">
        <v>77.58</v>
      </c>
      <c r="I25">
        <v>15</v>
      </c>
      <c r="J25">
        <v>1163.7</v>
      </c>
    </row>
    <row r="26" spans="1:10" x14ac:dyDescent="0.3">
      <c r="A26">
        <v>25</v>
      </c>
      <c r="B26" s="1">
        <v>45779</v>
      </c>
      <c r="C26" t="s">
        <v>30</v>
      </c>
      <c r="D26" t="s">
        <v>37</v>
      </c>
      <c r="E26" t="s">
        <v>39</v>
      </c>
      <c r="F26" t="s">
        <v>13</v>
      </c>
      <c r="G26" t="s">
        <v>22</v>
      </c>
      <c r="H26">
        <v>37.020000000000003</v>
      </c>
      <c r="I26">
        <v>32</v>
      </c>
      <c r="J26">
        <v>1184.6400000000001</v>
      </c>
    </row>
    <row r="27" spans="1:10" x14ac:dyDescent="0.3">
      <c r="A27">
        <v>26</v>
      </c>
      <c r="B27" s="1">
        <v>45866</v>
      </c>
      <c r="C27" t="s">
        <v>35</v>
      </c>
      <c r="D27" t="s">
        <v>31</v>
      </c>
      <c r="E27" t="s">
        <v>21</v>
      </c>
      <c r="F27" t="s">
        <v>33</v>
      </c>
      <c r="G27" t="s">
        <v>22</v>
      </c>
      <c r="H27">
        <v>26.9</v>
      </c>
      <c r="I27">
        <v>7</v>
      </c>
      <c r="J27">
        <v>188.3</v>
      </c>
    </row>
    <row r="28" spans="1:10" x14ac:dyDescent="0.3">
      <c r="A28">
        <v>27</v>
      </c>
      <c r="B28" s="1">
        <v>45685</v>
      </c>
      <c r="C28" t="s">
        <v>15</v>
      </c>
      <c r="D28" t="s">
        <v>40</v>
      </c>
      <c r="E28" t="s">
        <v>21</v>
      </c>
      <c r="F28" t="s">
        <v>25</v>
      </c>
      <c r="G28" t="s">
        <v>19</v>
      </c>
      <c r="H28">
        <v>82.44</v>
      </c>
      <c r="I28">
        <v>42</v>
      </c>
      <c r="J28">
        <v>3462.48</v>
      </c>
    </row>
    <row r="29" spans="1:10" x14ac:dyDescent="0.3">
      <c r="A29">
        <v>28</v>
      </c>
      <c r="B29" s="1">
        <v>45785</v>
      </c>
      <c r="C29" t="s">
        <v>27</v>
      </c>
      <c r="D29" t="s">
        <v>37</v>
      </c>
      <c r="E29" t="s">
        <v>21</v>
      </c>
      <c r="F29" t="s">
        <v>13</v>
      </c>
      <c r="G29" t="s">
        <v>22</v>
      </c>
      <c r="H29">
        <v>27.03</v>
      </c>
      <c r="I29">
        <v>35</v>
      </c>
      <c r="J29">
        <v>946.05</v>
      </c>
    </row>
    <row r="30" spans="1:10" x14ac:dyDescent="0.3">
      <c r="A30">
        <v>29</v>
      </c>
      <c r="B30" s="1">
        <v>45894</v>
      </c>
      <c r="C30" t="s">
        <v>27</v>
      </c>
      <c r="D30" t="s">
        <v>26</v>
      </c>
      <c r="E30" t="s">
        <v>17</v>
      </c>
      <c r="F30" t="s">
        <v>18</v>
      </c>
      <c r="G30" t="s">
        <v>19</v>
      </c>
      <c r="H30">
        <v>33.729999999999997</v>
      </c>
      <c r="I30">
        <v>5</v>
      </c>
      <c r="J30">
        <v>168.65</v>
      </c>
    </row>
    <row r="31" spans="1:10" x14ac:dyDescent="0.3">
      <c r="A31">
        <v>30</v>
      </c>
      <c r="B31" s="1">
        <v>45779</v>
      </c>
      <c r="C31" t="s">
        <v>27</v>
      </c>
      <c r="D31" t="s">
        <v>11</v>
      </c>
      <c r="E31" t="s">
        <v>21</v>
      </c>
      <c r="F31" t="s">
        <v>18</v>
      </c>
      <c r="G31" t="s">
        <v>19</v>
      </c>
      <c r="H31">
        <v>24.13</v>
      </c>
      <c r="I31">
        <v>32</v>
      </c>
      <c r="J31">
        <v>772.16</v>
      </c>
    </row>
    <row r="32" spans="1:10" x14ac:dyDescent="0.3">
      <c r="A32">
        <v>31</v>
      </c>
      <c r="B32" s="1">
        <v>45852</v>
      </c>
      <c r="C32" t="s">
        <v>10</v>
      </c>
      <c r="D32" t="s">
        <v>38</v>
      </c>
      <c r="E32" t="s">
        <v>34</v>
      </c>
      <c r="F32" t="s">
        <v>33</v>
      </c>
      <c r="G32" t="s">
        <v>14</v>
      </c>
      <c r="H32">
        <v>5.25</v>
      </c>
      <c r="I32">
        <v>25</v>
      </c>
      <c r="J32">
        <v>131.25</v>
      </c>
    </row>
    <row r="33" spans="1:10" x14ac:dyDescent="0.3">
      <c r="A33">
        <v>32</v>
      </c>
      <c r="B33" s="1">
        <v>45942</v>
      </c>
      <c r="C33" t="s">
        <v>23</v>
      </c>
      <c r="D33" t="s">
        <v>11</v>
      </c>
      <c r="E33" t="s">
        <v>34</v>
      </c>
      <c r="F33" t="s">
        <v>13</v>
      </c>
      <c r="G33" t="s">
        <v>19</v>
      </c>
      <c r="H33">
        <v>81.12</v>
      </c>
      <c r="I33">
        <v>32</v>
      </c>
      <c r="J33">
        <v>2595.84</v>
      </c>
    </row>
    <row r="34" spans="1:10" x14ac:dyDescent="0.3">
      <c r="A34">
        <v>33</v>
      </c>
      <c r="B34" s="1">
        <v>45954</v>
      </c>
      <c r="C34" t="s">
        <v>28</v>
      </c>
      <c r="D34" t="s">
        <v>40</v>
      </c>
      <c r="E34" t="s">
        <v>17</v>
      </c>
      <c r="F34" t="s">
        <v>33</v>
      </c>
      <c r="G34" t="s">
        <v>14</v>
      </c>
      <c r="H34">
        <v>89.61</v>
      </c>
      <c r="I34">
        <v>4</v>
      </c>
      <c r="J34">
        <v>358.44</v>
      </c>
    </row>
    <row r="35" spans="1:10" x14ac:dyDescent="0.3">
      <c r="A35">
        <v>34</v>
      </c>
      <c r="B35" s="1">
        <v>45929</v>
      </c>
      <c r="C35" t="s">
        <v>15</v>
      </c>
      <c r="D35" t="s">
        <v>37</v>
      </c>
      <c r="E35" t="s">
        <v>29</v>
      </c>
      <c r="F35" t="s">
        <v>18</v>
      </c>
      <c r="G35" t="s">
        <v>14</v>
      </c>
      <c r="H35">
        <v>23.1</v>
      </c>
      <c r="I35">
        <v>33</v>
      </c>
      <c r="J35">
        <v>762.3</v>
      </c>
    </row>
    <row r="36" spans="1:10" x14ac:dyDescent="0.3">
      <c r="A36">
        <v>35</v>
      </c>
      <c r="B36" s="1">
        <v>45778</v>
      </c>
      <c r="C36" t="s">
        <v>30</v>
      </c>
      <c r="D36" t="s">
        <v>40</v>
      </c>
      <c r="E36" t="s">
        <v>29</v>
      </c>
      <c r="F36" t="s">
        <v>33</v>
      </c>
      <c r="G36" t="s">
        <v>14</v>
      </c>
      <c r="H36">
        <v>51.43</v>
      </c>
      <c r="I36">
        <v>37</v>
      </c>
      <c r="J36">
        <v>1902.91</v>
      </c>
    </row>
    <row r="37" spans="1:10" x14ac:dyDescent="0.3">
      <c r="A37">
        <v>36</v>
      </c>
      <c r="B37" s="1">
        <v>45956</v>
      </c>
      <c r="C37" t="s">
        <v>10</v>
      </c>
      <c r="D37" t="s">
        <v>11</v>
      </c>
      <c r="E37" t="s">
        <v>24</v>
      </c>
      <c r="F37" t="s">
        <v>13</v>
      </c>
      <c r="G37" t="s">
        <v>22</v>
      </c>
      <c r="H37">
        <v>70</v>
      </c>
      <c r="I37">
        <v>21</v>
      </c>
      <c r="J37">
        <v>1470</v>
      </c>
    </row>
    <row r="38" spans="1:10" x14ac:dyDescent="0.3">
      <c r="A38">
        <v>37</v>
      </c>
      <c r="B38" s="1">
        <v>45860</v>
      </c>
      <c r="C38" t="s">
        <v>10</v>
      </c>
      <c r="D38" t="s">
        <v>38</v>
      </c>
      <c r="E38" t="s">
        <v>24</v>
      </c>
      <c r="F38" t="s">
        <v>18</v>
      </c>
      <c r="G38" t="s">
        <v>19</v>
      </c>
      <c r="H38">
        <v>20.05</v>
      </c>
      <c r="I38">
        <v>42</v>
      </c>
      <c r="J38">
        <v>842.1</v>
      </c>
    </row>
    <row r="39" spans="1:10" x14ac:dyDescent="0.3">
      <c r="A39">
        <v>38</v>
      </c>
      <c r="B39" s="1">
        <v>45892</v>
      </c>
      <c r="C39" t="s">
        <v>15</v>
      </c>
      <c r="D39" t="s">
        <v>26</v>
      </c>
      <c r="E39" t="s">
        <v>12</v>
      </c>
      <c r="F39" t="s">
        <v>25</v>
      </c>
      <c r="G39" t="s">
        <v>19</v>
      </c>
      <c r="H39">
        <v>76.430000000000007</v>
      </c>
      <c r="I39">
        <v>37</v>
      </c>
      <c r="J39">
        <v>2827.91</v>
      </c>
    </row>
    <row r="40" spans="1:10" x14ac:dyDescent="0.3">
      <c r="A40">
        <v>39</v>
      </c>
      <c r="B40" s="1">
        <v>45836</v>
      </c>
      <c r="C40" t="s">
        <v>28</v>
      </c>
      <c r="D40" t="s">
        <v>36</v>
      </c>
      <c r="E40" t="s">
        <v>32</v>
      </c>
      <c r="F40" t="s">
        <v>33</v>
      </c>
      <c r="G40" t="s">
        <v>14</v>
      </c>
      <c r="H40">
        <v>106.3</v>
      </c>
      <c r="I40">
        <v>16</v>
      </c>
      <c r="J40">
        <v>1700.8</v>
      </c>
    </row>
    <row r="41" spans="1:10" x14ac:dyDescent="0.3">
      <c r="A41">
        <v>40</v>
      </c>
      <c r="B41" s="1">
        <v>46018</v>
      </c>
      <c r="C41" t="s">
        <v>20</v>
      </c>
      <c r="D41" t="s">
        <v>36</v>
      </c>
      <c r="E41" t="s">
        <v>29</v>
      </c>
      <c r="F41" t="s">
        <v>13</v>
      </c>
      <c r="G41" t="s">
        <v>22</v>
      </c>
      <c r="H41">
        <v>39.79</v>
      </c>
      <c r="I41">
        <v>42</v>
      </c>
      <c r="J41">
        <v>1671.18</v>
      </c>
    </row>
    <row r="42" spans="1:10" x14ac:dyDescent="0.3">
      <c r="A42">
        <v>41</v>
      </c>
      <c r="B42" s="1">
        <v>45717</v>
      </c>
      <c r="C42" t="s">
        <v>23</v>
      </c>
      <c r="D42" t="s">
        <v>36</v>
      </c>
      <c r="E42" t="s">
        <v>34</v>
      </c>
      <c r="F42" t="s">
        <v>13</v>
      </c>
      <c r="G42" t="s">
        <v>14</v>
      </c>
      <c r="H42">
        <v>107.32</v>
      </c>
      <c r="I42">
        <v>48</v>
      </c>
      <c r="J42">
        <v>5151.3599999999997</v>
      </c>
    </row>
    <row r="43" spans="1:10" x14ac:dyDescent="0.3">
      <c r="A43">
        <v>42</v>
      </c>
      <c r="B43" s="1">
        <v>45833</v>
      </c>
      <c r="C43" t="s">
        <v>10</v>
      </c>
      <c r="D43" t="s">
        <v>38</v>
      </c>
      <c r="E43" t="s">
        <v>34</v>
      </c>
      <c r="F43" t="s">
        <v>18</v>
      </c>
      <c r="G43" t="s">
        <v>19</v>
      </c>
      <c r="H43">
        <v>28.41</v>
      </c>
      <c r="I43">
        <v>41</v>
      </c>
      <c r="J43">
        <v>1164.81</v>
      </c>
    </row>
    <row r="44" spans="1:10" x14ac:dyDescent="0.3">
      <c r="A44">
        <v>43</v>
      </c>
      <c r="B44" s="1">
        <v>45982</v>
      </c>
      <c r="C44" t="s">
        <v>20</v>
      </c>
      <c r="D44" t="s">
        <v>40</v>
      </c>
      <c r="E44" t="s">
        <v>24</v>
      </c>
      <c r="F44" t="s">
        <v>13</v>
      </c>
      <c r="G44" t="s">
        <v>14</v>
      </c>
      <c r="H44">
        <v>53.71</v>
      </c>
      <c r="I44">
        <v>18</v>
      </c>
      <c r="J44">
        <v>966.78</v>
      </c>
    </row>
    <row r="45" spans="1:10" x14ac:dyDescent="0.3">
      <c r="A45">
        <v>44</v>
      </c>
      <c r="B45" s="1">
        <v>45792</v>
      </c>
      <c r="C45" t="s">
        <v>35</v>
      </c>
      <c r="D45" t="s">
        <v>40</v>
      </c>
      <c r="E45" t="s">
        <v>29</v>
      </c>
      <c r="F45" t="s">
        <v>18</v>
      </c>
      <c r="G45" t="s">
        <v>14</v>
      </c>
      <c r="H45">
        <v>23.58</v>
      </c>
      <c r="I45">
        <v>29</v>
      </c>
      <c r="J45">
        <v>683.82</v>
      </c>
    </row>
    <row r="46" spans="1:10" x14ac:dyDescent="0.3">
      <c r="A46">
        <v>45</v>
      </c>
      <c r="B46" s="1">
        <v>45734</v>
      </c>
      <c r="C46" t="s">
        <v>23</v>
      </c>
      <c r="D46" t="s">
        <v>16</v>
      </c>
      <c r="E46" t="s">
        <v>32</v>
      </c>
      <c r="F46" t="s">
        <v>18</v>
      </c>
      <c r="G46" t="s">
        <v>22</v>
      </c>
      <c r="H46">
        <v>67.739999999999995</v>
      </c>
      <c r="I46">
        <v>24</v>
      </c>
      <c r="J46">
        <v>1625.76</v>
      </c>
    </row>
    <row r="47" spans="1:10" x14ac:dyDescent="0.3">
      <c r="A47">
        <v>46</v>
      </c>
      <c r="B47" s="1">
        <v>45844</v>
      </c>
      <c r="C47" t="s">
        <v>28</v>
      </c>
      <c r="D47" t="s">
        <v>11</v>
      </c>
      <c r="E47" t="s">
        <v>12</v>
      </c>
      <c r="F47" t="s">
        <v>18</v>
      </c>
      <c r="G47" t="s">
        <v>22</v>
      </c>
      <c r="H47">
        <v>108.38</v>
      </c>
      <c r="I47">
        <v>3</v>
      </c>
      <c r="J47">
        <v>325.14</v>
      </c>
    </row>
    <row r="48" spans="1:10" x14ac:dyDescent="0.3">
      <c r="A48">
        <v>47</v>
      </c>
      <c r="B48" s="1">
        <v>45944</v>
      </c>
      <c r="C48" t="s">
        <v>23</v>
      </c>
      <c r="D48" t="s">
        <v>11</v>
      </c>
      <c r="E48" t="s">
        <v>32</v>
      </c>
      <c r="F48" t="s">
        <v>13</v>
      </c>
      <c r="G48" t="s">
        <v>22</v>
      </c>
      <c r="H48">
        <v>106.68</v>
      </c>
      <c r="I48">
        <v>27</v>
      </c>
      <c r="J48">
        <v>2880.36</v>
      </c>
    </row>
    <row r="49" spans="1:10" x14ac:dyDescent="0.3">
      <c r="A49">
        <v>48</v>
      </c>
      <c r="B49" s="1">
        <v>45670</v>
      </c>
      <c r="C49" t="s">
        <v>35</v>
      </c>
      <c r="D49" t="s">
        <v>11</v>
      </c>
      <c r="E49" t="s">
        <v>34</v>
      </c>
      <c r="F49" t="s">
        <v>13</v>
      </c>
      <c r="G49" t="s">
        <v>14</v>
      </c>
      <c r="H49">
        <v>25.63</v>
      </c>
      <c r="I49">
        <v>22</v>
      </c>
      <c r="J49">
        <v>563.86</v>
      </c>
    </row>
    <row r="50" spans="1:10" x14ac:dyDescent="0.3">
      <c r="A50">
        <v>49</v>
      </c>
      <c r="B50" s="1">
        <v>45713</v>
      </c>
      <c r="C50" t="s">
        <v>27</v>
      </c>
      <c r="D50" t="s">
        <v>11</v>
      </c>
      <c r="E50" t="s">
        <v>12</v>
      </c>
      <c r="F50" t="s">
        <v>33</v>
      </c>
      <c r="G50" t="s">
        <v>22</v>
      </c>
      <c r="H50">
        <v>48.99</v>
      </c>
      <c r="I50">
        <v>3</v>
      </c>
      <c r="J50">
        <v>146.97</v>
      </c>
    </row>
    <row r="51" spans="1:10" x14ac:dyDescent="0.3">
      <c r="A51">
        <v>50</v>
      </c>
      <c r="B51" s="1">
        <v>45814</v>
      </c>
      <c r="C51" t="s">
        <v>30</v>
      </c>
      <c r="D51" t="s">
        <v>40</v>
      </c>
      <c r="E51" t="s">
        <v>12</v>
      </c>
      <c r="F51" t="s">
        <v>33</v>
      </c>
      <c r="G51" t="s">
        <v>22</v>
      </c>
      <c r="H51">
        <v>99.36</v>
      </c>
      <c r="I51">
        <v>15</v>
      </c>
      <c r="J51">
        <v>1490.4</v>
      </c>
    </row>
    <row r="52" spans="1:10" x14ac:dyDescent="0.3">
      <c r="A52">
        <v>51</v>
      </c>
      <c r="B52" s="1">
        <v>45800</v>
      </c>
      <c r="C52" t="s">
        <v>10</v>
      </c>
      <c r="D52" t="s">
        <v>31</v>
      </c>
      <c r="E52" t="s">
        <v>21</v>
      </c>
      <c r="F52" t="s">
        <v>25</v>
      </c>
      <c r="G52" t="s">
        <v>19</v>
      </c>
      <c r="H52">
        <v>104.4</v>
      </c>
      <c r="I52">
        <v>50</v>
      </c>
      <c r="J52">
        <v>5220</v>
      </c>
    </row>
    <row r="53" spans="1:10" x14ac:dyDescent="0.3">
      <c r="A53">
        <v>52</v>
      </c>
      <c r="B53" s="1">
        <v>45717</v>
      </c>
      <c r="C53" t="s">
        <v>23</v>
      </c>
      <c r="D53" t="s">
        <v>36</v>
      </c>
      <c r="E53" t="s">
        <v>17</v>
      </c>
      <c r="F53" t="s">
        <v>18</v>
      </c>
      <c r="G53" t="s">
        <v>14</v>
      </c>
      <c r="H53">
        <v>105.86</v>
      </c>
      <c r="I53">
        <v>17</v>
      </c>
      <c r="J53">
        <v>1799.62</v>
      </c>
    </row>
    <row r="54" spans="1:10" x14ac:dyDescent="0.3">
      <c r="A54">
        <v>53</v>
      </c>
      <c r="B54" s="1">
        <v>45880</v>
      </c>
      <c r="C54" t="s">
        <v>35</v>
      </c>
      <c r="D54" t="s">
        <v>26</v>
      </c>
      <c r="E54" t="s">
        <v>21</v>
      </c>
      <c r="F54" t="s">
        <v>13</v>
      </c>
      <c r="G54" t="s">
        <v>22</v>
      </c>
      <c r="H54">
        <v>44.75</v>
      </c>
      <c r="I54">
        <v>21</v>
      </c>
      <c r="J54">
        <v>939.75</v>
      </c>
    </row>
    <row r="55" spans="1:10" x14ac:dyDescent="0.3">
      <c r="A55">
        <v>54</v>
      </c>
      <c r="B55" s="1">
        <v>45680</v>
      </c>
      <c r="C55" t="s">
        <v>30</v>
      </c>
      <c r="D55" t="s">
        <v>31</v>
      </c>
      <c r="E55" t="s">
        <v>21</v>
      </c>
      <c r="F55" t="s">
        <v>18</v>
      </c>
      <c r="G55" t="s">
        <v>14</v>
      </c>
      <c r="H55">
        <v>86.51</v>
      </c>
      <c r="I55">
        <v>1</v>
      </c>
      <c r="J55">
        <v>86.51</v>
      </c>
    </row>
    <row r="56" spans="1:10" x14ac:dyDescent="0.3">
      <c r="A56">
        <v>55</v>
      </c>
      <c r="B56" s="1">
        <v>45827</v>
      </c>
      <c r="C56" t="s">
        <v>15</v>
      </c>
      <c r="D56" t="s">
        <v>36</v>
      </c>
      <c r="E56" t="s">
        <v>34</v>
      </c>
      <c r="F56" t="s">
        <v>33</v>
      </c>
      <c r="G56" t="s">
        <v>22</v>
      </c>
      <c r="H56">
        <v>76.66</v>
      </c>
      <c r="I56">
        <v>43</v>
      </c>
      <c r="J56">
        <v>3296.38</v>
      </c>
    </row>
    <row r="57" spans="1:10" x14ac:dyDescent="0.3">
      <c r="A57">
        <v>56</v>
      </c>
      <c r="B57" s="1">
        <v>45864</v>
      </c>
      <c r="C57" t="s">
        <v>23</v>
      </c>
      <c r="D57" t="s">
        <v>11</v>
      </c>
      <c r="E57" t="s">
        <v>21</v>
      </c>
      <c r="F57" t="s">
        <v>33</v>
      </c>
      <c r="G57" t="s">
        <v>14</v>
      </c>
      <c r="H57">
        <v>85.18</v>
      </c>
      <c r="I57">
        <v>36</v>
      </c>
      <c r="J57">
        <v>3066.48</v>
      </c>
    </row>
    <row r="58" spans="1:10" x14ac:dyDescent="0.3">
      <c r="A58">
        <v>57</v>
      </c>
      <c r="B58" s="1">
        <v>45747</v>
      </c>
      <c r="C58" t="s">
        <v>35</v>
      </c>
      <c r="D58" t="s">
        <v>40</v>
      </c>
      <c r="E58" t="s">
        <v>34</v>
      </c>
      <c r="F58" t="s">
        <v>25</v>
      </c>
      <c r="G58" t="s">
        <v>19</v>
      </c>
      <c r="H58">
        <v>75.78</v>
      </c>
      <c r="I58">
        <v>20</v>
      </c>
      <c r="J58">
        <v>1515.6</v>
      </c>
    </row>
    <row r="59" spans="1:10" x14ac:dyDescent="0.3">
      <c r="A59">
        <v>58</v>
      </c>
      <c r="B59" s="1">
        <v>45878</v>
      </c>
      <c r="C59" t="s">
        <v>28</v>
      </c>
      <c r="D59" t="s">
        <v>38</v>
      </c>
      <c r="E59" t="s">
        <v>39</v>
      </c>
      <c r="F59" t="s">
        <v>33</v>
      </c>
      <c r="G59" t="s">
        <v>14</v>
      </c>
      <c r="H59">
        <v>95.36</v>
      </c>
      <c r="I59">
        <v>39</v>
      </c>
      <c r="J59">
        <v>3719.04</v>
      </c>
    </row>
    <row r="60" spans="1:10" x14ac:dyDescent="0.3">
      <c r="A60">
        <v>59</v>
      </c>
      <c r="B60" s="1">
        <v>45767</v>
      </c>
      <c r="C60" t="s">
        <v>23</v>
      </c>
      <c r="D60" t="s">
        <v>26</v>
      </c>
      <c r="E60" t="s">
        <v>34</v>
      </c>
      <c r="F60" t="s">
        <v>25</v>
      </c>
      <c r="G60" t="s">
        <v>19</v>
      </c>
      <c r="H60">
        <v>63.79</v>
      </c>
      <c r="I60">
        <v>48</v>
      </c>
      <c r="J60">
        <v>3061.92</v>
      </c>
    </row>
    <row r="61" spans="1:10" x14ac:dyDescent="0.3">
      <c r="A61">
        <v>60</v>
      </c>
      <c r="B61" s="1">
        <v>45778</v>
      </c>
      <c r="C61" t="s">
        <v>30</v>
      </c>
      <c r="D61" t="s">
        <v>37</v>
      </c>
      <c r="E61" t="s">
        <v>17</v>
      </c>
      <c r="F61" t="s">
        <v>18</v>
      </c>
      <c r="G61" t="s">
        <v>19</v>
      </c>
      <c r="H61">
        <v>82.37</v>
      </c>
      <c r="I61">
        <v>15</v>
      </c>
      <c r="J61">
        <v>1235.55</v>
      </c>
    </row>
    <row r="62" spans="1:10" x14ac:dyDescent="0.3">
      <c r="A62">
        <v>61</v>
      </c>
      <c r="B62" s="1">
        <v>45901</v>
      </c>
      <c r="C62" t="s">
        <v>15</v>
      </c>
      <c r="D62" t="s">
        <v>38</v>
      </c>
      <c r="E62" t="s">
        <v>21</v>
      </c>
      <c r="F62" t="s">
        <v>13</v>
      </c>
      <c r="G62" t="s">
        <v>14</v>
      </c>
      <c r="H62">
        <v>75.3</v>
      </c>
      <c r="I62">
        <v>50</v>
      </c>
      <c r="J62">
        <v>3765</v>
      </c>
    </row>
    <row r="63" spans="1:10" x14ac:dyDescent="0.3">
      <c r="A63">
        <v>62</v>
      </c>
      <c r="B63" s="1">
        <v>46014</v>
      </c>
      <c r="C63" t="s">
        <v>30</v>
      </c>
      <c r="D63" t="s">
        <v>37</v>
      </c>
      <c r="E63" t="s">
        <v>17</v>
      </c>
      <c r="F63" t="s">
        <v>18</v>
      </c>
      <c r="G63" t="s">
        <v>22</v>
      </c>
      <c r="H63">
        <v>49.16</v>
      </c>
      <c r="I63">
        <v>26</v>
      </c>
      <c r="J63">
        <v>1278.1600000000001</v>
      </c>
    </row>
    <row r="64" spans="1:10" x14ac:dyDescent="0.3">
      <c r="A64">
        <v>63</v>
      </c>
      <c r="B64" s="1">
        <v>45770</v>
      </c>
      <c r="C64" t="s">
        <v>27</v>
      </c>
      <c r="D64" t="s">
        <v>40</v>
      </c>
      <c r="E64" t="s">
        <v>12</v>
      </c>
      <c r="F64" t="s">
        <v>18</v>
      </c>
      <c r="G64" t="s">
        <v>22</v>
      </c>
      <c r="H64">
        <v>25.23</v>
      </c>
      <c r="I64">
        <v>45</v>
      </c>
      <c r="J64">
        <v>1135.3499999999999</v>
      </c>
    </row>
    <row r="65" spans="1:10" x14ac:dyDescent="0.3">
      <c r="A65">
        <v>64</v>
      </c>
      <c r="B65" s="1">
        <v>45726</v>
      </c>
      <c r="C65" t="s">
        <v>28</v>
      </c>
      <c r="D65" t="s">
        <v>38</v>
      </c>
      <c r="E65" t="s">
        <v>21</v>
      </c>
      <c r="F65" t="s">
        <v>33</v>
      </c>
      <c r="G65" t="s">
        <v>19</v>
      </c>
      <c r="H65">
        <v>97.16</v>
      </c>
      <c r="I65">
        <v>43</v>
      </c>
      <c r="J65">
        <v>4177.88</v>
      </c>
    </row>
    <row r="66" spans="1:10" x14ac:dyDescent="0.3">
      <c r="A66">
        <v>65</v>
      </c>
      <c r="B66" s="1">
        <v>45901</v>
      </c>
      <c r="C66" t="s">
        <v>30</v>
      </c>
      <c r="D66" t="s">
        <v>36</v>
      </c>
      <c r="E66" t="s">
        <v>39</v>
      </c>
      <c r="F66" t="s">
        <v>13</v>
      </c>
      <c r="G66" t="s">
        <v>22</v>
      </c>
      <c r="H66">
        <v>56.76</v>
      </c>
      <c r="I66">
        <v>49</v>
      </c>
      <c r="J66">
        <v>2781.24</v>
      </c>
    </row>
    <row r="67" spans="1:10" x14ac:dyDescent="0.3">
      <c r="A67">
        <v>66</v>
      </c>
      <c r="B67" s="1">
        <v>45883</v>
      </c>
      <c r="C67" t="s">
        <v>30</v>
      </c>
      <c r="D67" t="s">
        <v>36</v>
      </c>
      <c r="E67" t="s">
        <v>24</v>
      </c>
      <c r="F67" t="s">
        <v>25</v>
      </c>
      <c r="G67" t="s">
        <v>14</v>
      </c>
      <c r="H67">
        <v>13.91</v>
      </c>
      <c r="I67">
        <v>19</v>
      </c>
      <c r="J67">
        <v>264.29000000000002</v>
      </c>
    </row>
    <row r="68" spans="1:10" x14ac:dyDescent="0.3">
      <c r="A68">
        <v>67</v>
      </c>
      <c r="B68" s="1">
        <v>45699</v>
      </c>
      <c r="C68" t="s">
        <v>35</v>
      </c>
      <c r="D68" t="s">
        <v>37</v>
      </c>
      <c r="E68" t="s">
        <v>12</v>
      </c>
      <c r="F68" t="s">
        <v>18</v>
      </c>
      <c r="G68" t="s">
        <v>22</v>
      </c>
      <c r="H68">
        <v>20.91</v>
      </c>
      <c r="I68">
        <v>15</v>
      </c>
      <c r="J68">
        <v>313.64999999999998</v>
      </c>
    </row>
    <row r="69" spans="1:10" x14ac:dyDescent="0.3">
      <c r="A69">
        <v>68</v>
      </c>
      <c r="B69" s="1">
        <v>45866</v>
      </c>
      <c r="C69" t="s">
        <v>35</v>
      </c>
      <c r="D69" t="s">
        <v>40</v>
      </c>
      <c r="E69" t="s">
        <v>12</v>
      </c>
      <c r="F69" t="s">
        <v>33</v>
      </c>
      <c r="G69" t="s">
        <v>22</v>
      </c>
      <c r="H69">
        <v>43.05</v>
      </c>
      <c r="I69">
        <v>30</v>
      </c>
      <c r="J69">
        <v>1291.5</v>
      </c>
    </row>
    <row r="70" spans="1:10" x14ac:dyDescent="0.3">
      <c r="A70">
        <v>69</v>
      </c>
      <c r="B70" s="1">
        <v>45957</v>
      </c>
      <c r="C70" t="s">
        <v>35</v>
      </c>
      <c r="D70" t="s">
        <v>38</v>
      </c>
      <c r="E70" t="s">
        <v>17</v>
      </c>
      <c r="F70" t="s">
        <v>25</v>
      </c>
      <c r="G70" t="s">
        <v>22</v>
      </c>
      <c r="H70">
        <v>113.8</v>
      </c>
      <c r="I70">
        <v>2</v>
      </c>
      <c r="J70">
        <v>227.6</v>
      </c>
    </row>
    <row r="71" spans="1:10" x14ac:dyDescent="0.3">
      <c r="A71">
        <v>70</v>
      </c>
      <c r="B71" s="1">
        <v>45857</v>
      </c>
      <c r="C71" t="s">
        <v>30</v>
      </c>
      <c r="D71" t="s">
        <v>38</v>
      </c>
      <c r="E71" t="s">
        <v>12</v>
      </c>
      <c r="F71" t="s">
        <v>25</v>
      </c>
      <c r="G71" t="s">
        <v>22</v>
      </c>
      <c r="H71">
        <v>103.15</v>
      </c>
      <c r="I71">
        <v>27</v>
      </c>
      <c r="J71">
        <v>2785.05</v>
      </c>
    </row>
    <row r="72" spans="1:10" x14ac:dyDescent="0.3">
      <c r="A72">
        <v>71</v>
      </c>
      <c r="B72" s="1">
        <v>45906</v>
      </c>
      <c r="C72" t="s">
        <v>35</v>
      </c>
      <c r="D72" t="s">
        <v>37</v>
      </c>
      <c r="E72" t="s">
        <v>39</v>
      </c>
      <c r="F72" t="s">
        <v>13</v>
      </c>
      <c r="G72" t="s">
        <v>14</v>
      </c>
      <c r="H72">
        <v>8.34</v>
      </c>
      <c r="I72">
        <v>22</v>
      </c>
      <c r="J72">
        <v>183.48</v>
      </c>
    </row>
    <row r="73" spans="1:10" x14ac:dyDescent="0.3">
      <c r="A73">
        <v>72</v>
      </c>
      <c r="B73" s="1">
        <v>45931</v>
      </c>
      <c r="C73" t="s">
        <v>20</v>
      </c>
      <c r="D73" t="s">
        <v>26</v>
      </c>
      <c r="E73" t="s">
        <v>21</v>
      </c>
      <c r="F73" t="s">
        <v>13</v>
      </c>
      <c r="G73" t="s">
        <v>22</v>
      </c>
      <c r="H73">
        <v>8.1</v>
      </c>
      <c r="I73">
        <v>26</v>
      </c>
      <c r="J73">
        <v>210.6</v>
      </c>
    </row>
    <row r="74" spans="1:10" x14ac:dyDescent="0.3">
      <c r="A74">
        <v>73</v>
      </c>
      <c r="B74" s="1">
        <v>45751</v>
      </c>
      <c r="C74" t="s">
        <v>28</v>
      </c>
      <c r="D74" t="s">
        <v>11</v>
      </c>
      <c r="E74" t="s">
        <v>39</v>
      </c>
      <c r="F74" t="s">
        <v>25</v>
      </c>
      <c r="G74" t="s">
        <v>22</v>
      </c>
      <c r="H74">
        <v>10.78</v>
      </c>
      <c r="I74">
        <v>25</v>
      </c>
      <c r="J74">
        <v>269.5</v>
      </c>
    </row>
    <row r="75" spans="1:10" x14ac:dyDescent="0.3">
      <c r="A75">
        <v>74</v>
      </c>
      <c r="B75" s="1">
        <v>45852</v>
      </c>
      <c r="C75" t="s">
        <v>10</v>
      </c>
      <c r="D75" t="s">
        <v>26</v>
      </c>
      <c r="E75" t="s">
        <v>39</v>
      </c>
      <c r="F75" t="s">
        <v>18</v>
      </c>
      <c r="G75" t="s">
        <v>14</v>
      </c>
      <c r="H75">
        <v>37</v>
      </c>
      <c r="I75">
        <v>27</v>
      </c>
      <c r="J75">
        <v>999</v>
      </c>
    </row>
    <row r="76" spans="1:10" x14ac:dyDescent="0.3">
      <c r="A76">
        <v>75</v>
      </c>
      <c r="B76" s="1">
        <v>45934</v>
      </c>
      <c r="C76" t="s">
        <v>30</v>
      </c>
      <c r="D76" t="s">
        <v>26</v>
      </c>
      <c r="E76" t="s">
        <v>17</v>
      </c>
      <c r="F76" t="s">
        <v>18</v>
      </c>
      <c r="G76" t="s">
        <v>19</v>
      </c>
      <c r="H76">
        <v>10.99</v>
      </c>
      <c r="I76">
        <v>23</v>
      </c>
      <c r="J76">
        <v>252.77</v>
      </c>
    </row>
    <row r="77" spans="1:10" x14ac:dyDescent="0.3">
      <c r="A77">
        <v>76</v>
      </c>
      <c r="B77" s="1">
        <v>45760</v>
      </c>
      <c r="C77" t="s">
        <v>23</v>
      </c>
      <c r="D77" t="s">
        <v>11</v>
      </c>
      <c r="E77" t="s">
        <v>32</v>
      </c>
      <c r="F77" t="s">
        <v>33</v>
      </c>
      <c r="G77" t="s">
        <v>14</v>
      </c>
      <c r="H77">
        <v>101.51</v>
      </c>
      <c r="I77">
        <v>40</v>
      </c>
      <c r="J77">
        <v>4060.4</v>
      </c>
    </row>
    <row r="78" spans="1:10" x14ac:dyDescent="0.3">
      <c r="A78">
        <v>77</v>
      </c>
      <c r="B78" s="1">
        <v>45716</v>
      </c>
      <c r="C78" t="s">
        <v>27</v>
      </c>
      <c r="D78" t="s">
        <v>36</v>
      </c>
      <c r="E78" t="s">
        <v>24</v>
      </c>
      <c r="F78" t="s">
        <v>13</v>
      </c>
      <c r="G78" t="s">
        <v>14</v>
      </c>
      <c r="H78">
        <v>69.86</v>
      </c>
      <c r="I78">
        <v>14</v>
      </c>
      <c r="J78">
        <v>978.04</v>
      </c>
    </row>
    <row r="79" spans="1:10" x14ac:dyDescent="0.3">
      <c r="A79">
        <v>78</v>
      </c>
      <c r="B79" s="1">
        <v>45968</v>
      </c>
      <c r="C79" t="s">
        <v>15</v>
      </c>
      <c r="D79" t="s">
        <v>37</v>
      </c>
      <c r="E79" t="s">
        <v>34</v>
      </c>
      <c r="F79" t="s">
        <v>18</v>
      </c>
      <c r="G79" t="s">
        <v>14</v>
      </c>
      <c r="H79">
        <v>115.83</v>
      </c>
      <c r="I79">
        <v>46</v>
      </c>
      <c r="J79">
        <v>5328.18</v>
      </c>
    </row>
    <row r="80" spans="1:10" x14ac:dyDescent="0.3">
      <c r="A80">
        <v>79</v>
      </c>
      <c r="B80" s="1">
        <v>45671</v>
      </c>
      <c r="C80" t="s">
        <v>35</v>
      </c>
      <c r="D80" t="s">
        <v>16</v>
      </c>
      <c r="E80" t="s">
        <v>12</v>
      </c>
      <c r="F80" t="s">
        <v>18</v>
      </c>
      <c r="G80" t="s">
        <v>14</v>
      </c>
      <c r="H80">
        <v>111.82</v>
      </c>
      <c r="I80">
        <v>37</v>
      </c>
      <c r="J80">
        <v>4137.34</v>
      </c>
    </row>
    <row r="81" spans="1:10" x14ac:dyDescent="0.3">
      <c r="A81">
        <v>80</v>
      </c>
      <c r="B81" s="1">
        <v>46011</v>
      </c>
      <c r="C81" t="s">
        <v>15</v>
      </c>
      <c r="D81" t="s">
        <v>36</v>
      </c>
      <c r="E81" t="s">
        <v>29</v>
      </c>
      <c r="F81" t="s">
        <v>18</v>
      </c>
      <c r="G81" t="s">
        <v>22</v>
      </c>
      <c r="H81">
        <v>100.52</v>
      </c>
      <c r="I81">
        <v>16</v>
      </c>
      <c r="J81">
        <v>1608.32</v>
      </c>
    </row>
    <row r="82" spans="1:10" x14ac:dyDescent="0.3">
      <c r="A82">
        <v>81</v>
      </c>
      <c r="B82" s="1">
        <v>45930</v>
      </c>
      <c r="C82" t="s">
        <v>15</v>
      </c>
      <c r="D82" t="s">
        <v>31</v>
      </c>
      <c r="E82" t="s">
        <v>17</v>
      </c>
      <c r="F82" t="s">
        <v>33</v>
      </c>
      <c r="G82" t="s">
        <v>22</v>
      </c>
      <c r="H82">
        <v>54.26</v>
      </c>
      <c r="I82">
        <v>24</v>
      </c>
      <c r="J82">
        <v>1302.24</v>
      </c>
    </row>
    <row r="83" spans="1:10" x14ac:dyDescent="0.3">
      <c r="A83">
        <v>82</v>
      </c>
      <c r="B83" s="1">
        <v>45712</v>
      </c>
      <c r="C83" t="s">
        <v>27</v>
      </c>
      <c r="D83" t="s">
        <v>37</v>
      </c>
      <c r="E83" t="s">
        <v>21</v>
      </c>
      <c r="F83" t="s">
        <v>13</v>
      </c>
      <c r="G83" t="s">
        <v>14</v>
      </c>
      <c r="H83">
        <v>54.86</v>
      </c>
      <c r="I83">
        <v>24</v>
      </c>
      <c r="J83">
        <v>1316.64</v>
      </c>
    </row>
    <row r="84" spans="1:10" x14ac:dyDescent="0.3">
      <c r="A84">
        <v>83</v>
      </c>
      <c r="B84" s="1">
        <v>45925</v>
      </c>
      <c r="C84" t="s">
        <v>27</v>
      </c>
      <c r="D84" t="s">
        <v>38</v>
      </c>
      <c r="E84" t="s">
        <v>21</v>
      </c>
      <c r="F84" t="s">
        <v>25</v>
      </c>
      <c r="G84" t="s">
        <v>22</v>
      </c>
      <c r="H84">
        <v>116.03</v>
      </c>
      <c r="I84">
        <v>18</v>
      </c>
      <c r="J84">
        <v>2088.54</v>
      </c>
    </row>
    <row r="85" spans="1:10" x14ac:dyDescent="0.3">
      <c r="A85">
        <v>84</v>
      </c>
      <c r="B85" s="1">
        <v>45783</v>
      </c>
      <c r="C85" t="s">
        <v>10</v>
      </c>
      <c r="D85" t="s">
        <v>38</v>
      </c>
      <c r="E85" t="s">
        <v>12</v>
      </c>
      <c r="F85" t="s">
        <v>33</v>
      </c>
      <c r="G85" t="s">
        <v>14</v>
      </c>
      <c r="H85">
        <v>100.53</v>
      </c>
      <c r="I85">
        <v>6</v>
      </c>
      <c r="J85">
        <v>603.17999999999995</v>
      </c>
    </row>
    <row r="86" spans="1:10" x14ac:dyDescent="0.3">
      <c r="A86">
        <v>85</v>
      </c>
      <c r="B86" s="1">
        <v>45970</v>
      </c>
      <c r="C86" t="s">
        <v>20</v>
      </c>
      <c r="D86" t="s">
        <v>38</v>
      </c>
      <c r="E86" t="s">
        <v>24</v>
      </c>
      <c r="F86" t="s">
        <v>13</v>
      </c>
      <c r="G86" t="s">
        <v>22</v>
      </c>
      <c r="H86">
        <v>81.84</v>
      </c>
      <c r="I86">
        <v>22</v>
      </c>
      <c r="J86">
        <v>1800.48</v>
      </c>
    </row>
    <row r="87" spans="1:10" x14ac:dyDescent="0.3">
      <c r="A87">
        <v>86</v>
      </c>
      <c r="B87" s="1">
        <v>45766</v>
      </c>
      <c r="C87" t="s">
        <v>28</v>
      </c>
      <c r="D87" t="s">
        <v>36</v>
      </c>
      <c r="E87" t="s">
        <v>34</v>
      </c>
      <c r="F87" t="s">
        <v>18</v>
      </c>
      <c r="G87" t="s">
        <v>14</v>
      </c>
      <c r="H87">
        <v>45.8</v>
      </c>
      <c r="I87">
        <v>17</v>
      </c>
      <c r="J87">
        <v>778.6</v>
      </c>
    </row>
    <row r="88" spans="1:10" x14ac:dyDescent="0.3">
      <c r="A88">
        <v>87</v>
      </c>
      <c r="B88" s="1">
        <v>45755</v>
      </c>
      <c r="C88" t="s">
        <v>35</v>
      </c>
      <c r="D88" t="s">
        <v>38</v>
      </c>
      <c r="E88" t="s">
        <v>12</v>
      </c>
      <c r="F88" t="s">
        <v>33</v>
      </c>
      <c r="G88" t="s">
        <v>14</v>
      </c>
      <c r="H88">
        <v>14.85</v>
      </c>
      <c r="I88">
        <v>47</v>
      </c>
      <c r="J88">
        <v>697.95</v>
      </c>
    </row>
    <row r="89" spans="1:10" x14ac:dyDescent="0.3">
      <c r="A89">
        <v>88</v>
      </c>
      <c r="B89" s="1">
        <v>46022</v>
      </c>
      <c r="C89" t="s">
        <v>15</v>
      </c>
      <c r="D89" t="s">
        <v>36</v>
      </c>
      <c r="E89" t="s">
        <v>12</v>
      </c>
      <c r="F89" t="s">
        <v>33</v>
      </c>
      <c r="G89" t="s">
        <v>14</v>
      </c>
      <c r="H89">
        <v>61.44</v>
      </c>
      <c r="I89">
        <v>2</v>
      </c>
      <c r="J89">
        <v>122.88</v>
      </c>
    </row>
    <row r="90" spans="1:10" x14ac:dyDescent="0.3">
      <c r="A90">
        <v>89</v>
      </c>
      <c r="B90" s="1">
        <v>45782</v>
      </c>
      <c r="C90" t="s">
        <v>28</v>
      </c>
      <c r="D90" t="s">
        <v>38</v>
      </c>
      <c r="E90" t="s">
        <v>24</v>
      </c>
      <c r="F90" t="s">
        <v>33</v>
      </c>
      <c r="G90" t="s">
        <v>14</v>
      </c>
      <c r="H90">
        <v>40.21</v>
      </c>
      <c r="I90">
        <v>38</v>
      </c>
      <c r="J90">
        <v>1527.98</v>
      </c>
    </row>
    <row r="91" spans="1:10" x14ac:dyDescent="0.3">
      <c r="A91">
        <v>90</v>
      </c>
      <c r="B91" s="1">
        <v>45939</v>
      </c>
      <c r="C91" t="s">
        <v>27</v>
      </c>
      <c r="D91" t="s">
        <v>36</v>
      </c>
      <c r="E91" t="s">
        <v>34</v>
      </c>
      <c r="F91" t="s">
        <v>25</v>
      </c>
      <c r="G91" t="s">
        <v>19</v>
      </c>
      <c r="H91">
        <v>43.04</v>
      </c>
      <c r="I91">
        <v>45</v>
      </c>
      <c r="J91">
        <v>1936.8</v>
      </c>
    </row>
    <row r="92" spans="1:10" x14ac:dyDescent="0.3">
      <c r="A92">
        <v>91</v>
      </c>
      <c r="B92" s="1">
        <v>45719</v>
      </c>
      <c r="C92" t="s">
        <v>15</v>
      </c>
      <c r="D92" t="s">
        <v>37</v>
      </c>
      <c r="E92" t="s">
        <v>12</v>
      </c>
      <c r="F92" t="s">
        <v>13</v>
      </c>
      <c r="G92" t="s">
        <v>14</v>
      </c>
      <c r="H92">
        <v>87.95</v>
      </c>
      <c r="I92">
        <v>21</v>
      </c>
      <c r="J92">
        <v>1846.95</v>
      </c>
    </row>
    <row r="93" spans="1:10" x14ac:dyDescent="0.3">
      <c r="A93">
        <v>92</v>
      </c>
      <c r="B93" s="1">
        <v>45905</v>
      </c>
      <c r="C93" t="s">
        <v>10</v>
      </c>
      <c r="D93" t="s">
        <v>26</v>
      </c>
      <c r="E93" t="s">
        <v>12</v>
      </c>
      <c r="F93" t="s">
        <v>25</v>
      </c>
      <c r="G93" t="s">
        <v>19</v>
      </c>
      <c r="H93">
        <v>36.799999999999997</v>
      </c>
      <c r="I93">
        <v>38</v>
      </c>
      <c r="J93">
        <v>1398.4</v>
      </c>
    </row>
    <row r="94" spans="1:10" x14ac:dyDescent="0.3">
      <c r="A94">
        <v>93</v>
      </c>
      <c r="B94" s="1">
        <v>45842</v>
      </c>
      <c r="C94" t="s">
        <v>23</v>
      </c>
      <c r="D94" t="s">
        <v>36</v>
      </c>
      <c r="E94" t="s">
        <v>17</v>
      </c>
      <c r="F94" t="s">
        <v>18</v>
      </c>
      <c r="G94" t="s">
        <v>14</v>
      </c>
      <c r="H94">
        <v>25.64</v>
      </c>
      <c r="I94">
        <v>1</v>
      </c>
      <c r="J94">
        <v>25.64</v>
      </c>
    </row>
    <row r="95" spans="1:10" x14ac:dyDescent="0.3">
      <c r="A95">
        <v>94</v>
      </c>
      <c r="B95" s="1">
        <v>45807</v>
      </c>
      <c r="C95" t="s">
        <v>27</v>
      </c>
      <c r="D95" t="s">
        <v>26</v>
      </c>
      <c r="E95" t="s">
        <v>17</v>
      </c>
      <c r="F95" t="s">
        <v>25</v>
      </c>
      <c r="G95" t="s">
        <v>22</v>
      </c>
      <c r="H95">
        <v>85.2</v>
      </c>
      <c r="I95">
        <v>9</v>
      </c>
      <c r="J95">
        <v>766.8</v>
      </c>
    </row>
    <row r="96" spans="1:10" x14ac:dyDescent="0.3">
      <c r="A96">
        <v>95</v>
      </c>
      <c r="B96" s="1">
        <v>45903</v>
      </c>
      <c r="C96" t="s">
        <v>20</v>
      </c>
      <c r="D96" t="s">
        <v>36</v>
      </c>
      <c r="E96" t="s">
        <v>39</v>
      </c>
      <c r="F96" t="s">
        <v>18</v>
      </c>
      <c r="G96" t="s">
        <v>19</v>
      </c>
      <c r="H96">
        <v>55.65</v>
      </c>
      <c r="I96">
        <v>12</v>
      </c>
      <c r="J96">
        <v>667.8</v>
      </c>
    </row>
    <row r="97" spans="1:10" x14ac:dyDescent="0.3">
      <c r="A97">
        <v>96</v>
      </c>
      <c r="B97" s="1">
        <v>45863</v>
      </c>
      <c r="C97" t="s">
        <v>20</v>
      </c>
      <c r="D97" t="s">
        <v>37</v>
      </c>
      <c r="E97" t="s">
        <v>32</v>
      </c>
      <c r="F97" t="s">
        <v>25</v>
      </c>
      <c r="G97" t="s">
        <v>19</v>
      </c>
      <c r="H97">
        <v>61.55</v>
      </c>
      <c r="I97">
        <v>37</v>
      </c>
      <c r="J97">
        <v>2277.35</v>
      </c>
    </row>
    <row r="98" spans="1:10" x14ac:dyDescent="0.3">
      <c r="A98">
        <v>97</v>
      </c>
      <c r="B98" s="1">
        <v>45785</v>
      </c>
      <c r="C98" t="s">
        <v>35</v>
      </c>
      <c r="D98" t="s">
        <v>11</v>
      </c>
      <c r="E98" t="s">
        <v>21</v>
      </c>
      <c r="F98" t="s">
        <v>33</v>
      </c>
      <c r="G98" t="s">
        <v>22</v>
      </c>
      <c r="H98">
        <v>18.62</v>
      </c>
      <c r="I98">
        <v>49</v>
      </c>
      <c r="J98">
        <v>912.38</v>
      </c>
    </row>
    <row r="99" spans="1:10" x14ac:dyDescent="0.3">
      <c r="A99">
        <v>98</v>
      </c>
      <c r="B99" s="1">
        <v>45810</v>
      </c>
      <c r="C99" t="s">
        <v>10</v>
      </c>
      <c r="D99" t="s">
        <v>40</v>
      </c>
      <c r="E99" t="s">
        <v>29</v>
      </c>
      <c r="F99" t="s">
        <v>13</v>
      </c>
      <c r="G99" t="s">
        <v>14</v>
      </c>
      <c r="H99">
        <v>103.92</v>
      </c>
      <c r="I99">
        <v>28</v>
      </c>
      <c r="J99">
        <v>2909.76</v>
      </c>
    </row>
    <row r="100" spans="1:10" x14ac:dyDescent="0.3">
      <c r="A100">
        <v>99</v>
      </c>
      <c r="B100" s="1">
        <v>45766</v>
      </c>
      <c r="C100" t="s">
        <v>23</v>
      </c>
      <c r="D100" t="s">
        <v>11</v>
      </c>
      <c r="E100" t="s">
        <v>32</v>
      </c>
      <c r="F100" t="s">
        <v>18</v>
      </c>
      <c r="G100" t="s">
        <v>19</v>
      </c>
      <c r="H100">
        <v>35.43</v>
      </c>
      <c r="I100">
        <v>6</v>
      </c>
      <c r="J100">
        <v>212.58</v>
      </c>
    </row>
    <row r="101" spans="1:10" x14ac:dyDescent="0.3">
      <c r="A101">
        <v>100</v>
      </c>
      <c r="B101" s="1">
        <v>45659</v>
      </c>
      <c r="C101" t="s">
        <v>27</v>
      </c>
      <c r="D101" t="s">
        <v>36</v>
      </c>
      <c r="E101" t="s">
        <v>17</v>
      </c>
      <c r="F101" t="s">
        <v>13</v>
      </c>
      <c r="G101" t="s">
        <v>22</v>
      </c>
      <c r="H101">
        <v>51.98</v>
      </c>
      <c r="I101">
        <v>45</v>
      </c>
      <c r="J101">
        <v>2339.1</v>
      </c>
    </row>
    <row r="102" spans="1:10" x14ac:dyDescent="0.3">
      <c r="A102">
        <v>101</v>
      </c>
      <c r="B102" s="1">
        <v>46019</v>
      </c>
      <c r="C102" t="s">
        <v>15</v>
      </c>
      <c r="D102" t="s">
        <v>11</v>
      </c>
      <c r="E102" t="s">
        <v>34</v>
      </c>
      <c r="F102" t="s">
        <v>13</v>
      </c>
      <c r="G102" t="s">
        <v>22</v>
      </c>
      <c r="H102">
        <v>37.51</v>
      </c>
      <c r="I102">
        <v>30</v>
      </c>
      <c r="J102">
        <v>1125.3</v>
      </c>
    </row>
    <row r="103" spans="1:10" x14ac:dyDescent="0.3">
      <c r="A103">
        <v>102</v>
      </c>
      <c r="B103" s="1">
        <v>45716</v>
      </c>
      <c r="C103" t="s">
        <v>23</v>
      </c>
      <c r="D103" t="s">
        <v>36</v>
      </c>
      <c r="E103" t="s">
        <v>32</v>
      </c>
      <c r="F103" t="s">
        <v>18</v>
      </c>
      <c r="G103" t="s">
        <v>19</v>
      </c>
      <c r="H103">
        <v>67.62</v>
      </c>
      <c r="I103">
        <v>42</v>
      </c>
      <c r="J103">
        <v>2840.04</v>
      </c>
    </row>
    <row r="104" spans="1:10" x14ac:dyDescent="0.3">
      <c r="A104">
        <v>103</v>
      </c>
      <c r="B104" s="1">
        <v>45742</v>
      </c>
      <c r="C104" t="s">
        <v>10</v>
      </c>
      <c r="D104" t="s">
        <v>38</v>
      </c>
      <c r="E104" t="s">
        <v>29</v>
      </c>
      <c r="F104" t="s">
        <v>33</v>
      </c>
      <c r="G104" t="s">
        <v>14</v>
      </c>
      <c r="H104">
        <v>96.15</v>
      </c>
      <c r="I104">
        <v>39</v>
      </c>
      <c r="J104">
        <v>3749.85</v>
      </c>
    </row>
    <row r="105" spans="1:10" x14ac:dyDescent="0.3">
      <c r="A105">
        <v>104</v>
      </c>
      <c r="B105" s="1">
        <v>45813</v>
      </c>
      <c r="C105" t="s">
        <v>27</v>
      </c>
      <c r="D105" t="s">
        <v>38</v>
      </c>
      <c r="E105" t="s">
        <v>29</v>
      </c>
      <c r="F105" t="s">
        <v>18</v>
      </c>
      <c r="G105" t="s">
        <v>22</v>
      </c>
      <c r="H105">
        <v>85.47</v>
      </c>
      <c r="I105">
        <v>18</v>
      </c>
      <c r="J105">
        <v>1538.46</v>
      </c>
    </row>
    <row r="106" spans="1:10" x14ac:dyDescent="0.3">
      <c r="A106">
        <v>105</v>
      </c>
      <c r="B106" s="1">
        <v>45823</v>
      </c>
      <c r="C106" t="s">
        <v>15</v>
      </c>
      <c r="D106" t="s">
        <v>11</v>
      </c>
      <c r="E106" t="s">
        <v>17</v>
      </c>
      <c r="F106" t="s">
        <v>25</v>
      </c>
      <c r="G106" t="s">
        <v>14</v>
      </c>
      <c r="H106">
        <v>74.430000000000007</v>
      </c>
      <c r="I106">
        <v>2</v>
      </c>
      <c r="J106">
        <v>148.86000000000001</v>
      </c>
    </row>
    <row r="107" spans="1:10" x14ac:dyDescent="0.3">
      <c r="A107">
        <v>106</v>
      </c>
      <c r="B107" s="1">
        <v>45678</v>
      </c>
      <c r="C107" t="s">
        <v>27</v>
      </c>
      <c r="D107" t="s">
        <v>38</v>
      </c>
      <c r="E107" t="s">
        <v>34</v>
      </c>
      <c r="F107" t="s">
        <v>13</v>
      </c>
      <c r="G107" t="s">
        <v>14</v>
      </c>
      <c r="H107">
        <v>92.76</v>
      </c>
      <c r="I107">
        <v>12</v>
      </c>
      <c r="J107">
        <v>1113.1199999999999</v>
      </c>
    </row>
    <row r="108" spans="1:10" x14ac:dyDescent="0.3">
      <c r="A108">
        <v>107</v>
      </c>
      <c r="B108" s="1">
        <v>45881</v>
      </c>
      <c r="C108" t="s">
        <v>15</v>
      </c>
      <c r="D108" t="s">
        <v>38</v>
      </c>
      <c r="E108" t="s">
        <v>24</v>
      </c>
      <c r="F108" t="s">
        <v>33</v>
      </c>
      <c r="G108" t="s">
        <v>22</v>
      </c>
      <c r="H108">
        <v>78</v>
      </c>
      <c r="I108">
        <v>32</v>
      </c>
      <c r="J108">
        <v>2496</v>
      </c>
    </row>
    <row r="109" spans="1:10" x14ac:dyDescent="0.3">
      <c r="A109">
        <v>108</v>
      </c>
      <c r="B109" s="1">
        <v>45822</v>
      </c>
      <c r="C109" t="s">
        <v>28</v>
      </c>
      <c r="D109" t="s">
        <v>16</v>
      </c>
      <c r="E109" t="s">
        <v>39</v>
      </c>
      <c r="F109" t="s">
        <v>25</v>
      </c>
      <c r="G109" t="s">
        <v>14</v>
      </c>
      <c r="H109">
        <v>82.07</v>
      </c>
      <c r="I109">
        <v>11</v>
      </c>
      <c r="J109">
        <v>902.77</v>
      </c>
    </row>
    <row r="110" spans="1:10" x14ac:dyDescent="0.3">
      <c r="A110">
        <v>109</v>
      </c>
      <c r="B110" s="1">
        <v>45863</v>
      </c>
      <c r="C110" t="s">
        <v>20</v>
      </c>
      <c r="D110" t="s">
        <v>38</v>
      </c>
      <c r="E110" t="s">
        <v>29</v>
      </c>
      <c r="F110" t="s">
        <v>25</v>
      </c>
      <c r="G110" t="s">
        <v>22</v>
      </c>
      <c r="H110">
        <v>98.56</v>
      </c>
      <c r="I110">
        <v>36</v>
      </c>
      <c r="J110">
        <v>3548.16</v>
      </c>
    </row>
    <row r="111" spans="1:10" x14ac:dyDescent="0.3">
      <c r="A111">
        <v>110</v>
      </c>
      <c r="B111" s="1">
        <v>45823</v>
      </c>
      <c r="C111" t="s">
        <v>35</v>
      </c>
      <c r="D111" t="s">
        <v>40</v>
      </c>
      <c r="E111" t="s">
        <v>39</v>
      </c>
      <c r="F111" t="s">
        <v>33</v>
      </c>
      <c r="G111" t="s">
        <v>19</v>
      </c>
      <c r="H111">
        <v>18.329999999999998</v>
      </c>
      <c r="I111">
        <v>50</v>
      </c>
      <c r="J111">
        <v>916.5</v>
      </c>
    </row>
    <row r="112" spans="1:10" x14ac:dyDescent="0.3">
      <c r="A112">
        <v>111</v>
      </c>
      <c r="B112" s="1">
        <v>45754</v>
      </c>
      <c r="C112" t="s">
        <v>27</v>
      </c>
      <c r="D112" t="s">
        <v>38</v>
      </c>
      <c r="E112" t="s">
        <v>17</v>
      </c>
      <c r="F112" t="s">
        <v>13</v>
      </c>
      <c r="G112" t="s">
        <v>22</v>
      </c>
      <c r="H112">
        <v>64.62</v>
      </c>
      <c r="I112">
        <v>40</v>
      </c>
      <c r="J112">
        <v>2584.8000000000002</v>
      </c>
    </row>
    <row r="113" spans="1:10" x14ac:dyDescent="0.3">
      <c r="A113">
        <v>112</v>
      </c>
      <c r="B113" s="1">
        <v>45939</v>
      </c>
      <c r="C113" t="s">
        <v>27</v>
      </c>
      <c r="D113" t="s">
        <v>38</v>
      </c>
      <c r="E113" t="s">
        <v>29</v>
      </c>
      <c r="F113" t="s">
        <v>18</v>
      </c>
      <c r="G113" t="s">
        <v>14</v>
      </c>
      <c r="H113">
        <v>20.07</v>
      </c>
      <c r="I113">
        <v>19</v>
      </c>
      <c r="J113">
        <v>381.33</v>
      </c>
    </row>
    <row r="114" spans="1:10" x14ac:dyDescent="0.3">
      <c r="A114">
        <v>113</v>
      </c>
      <c r="B114" s="1">
        <v>45969</v>
      </c>
      <c r="C114" t="s">
        <v>23</v>
      </c>
      <c r="D114" t="s">
        <v>36</v>
      </c>
      <c r="E114" t="s">
        <v>17</v>
      </c>
      <c r="F114" t="s">
        <v>33</v>
      </c>
      <c r="G114" t="s">
        <v>19</v>
      </c>
      <c r="H114">
        <v>96.92</v>
      </c>
      <c r="I114">
        <v>46</v>
      </c>
      <c r="J114">
        <v>4458.32</v>
      </c>
    </row>
    <row r="115" spans="1:10" x14ac:dyDescent="0.3">
      <c r="A115">
        <v>114</v>
      </c>
      <c r="B115" s="1">
        <v>45773</v>
      </c>
      <c r="C115" t="s">
        <v>27</v>
      </c>
      <c r="D115" t="s">
        <v>26</v>
      </c>
      <c r="E115" t="s">
        <v>32</v>
      </c>
      <c r="F115" t="s">
        <v>33</v>
      </c>
      <c r="G115" t="s">
        <v>14</v>
      </c>
      <c r="H115">
        <v>119.11</v>
      </c>
      <c r="I115">
        <v>8</v>
      </c>
      <c r="J115">
        <v>952.88</v>
      </c>
    </row>
    <row r="116" spans="1:10" x14ac:dyDescent="0.3">
      <c r="A116">
        <v>115</v>
      </c>
      <c r="B116" s="1">
        <v>45807</v>
      </c>
      <c r="C116" t="s">
        <v>35</v>
      </c>
      <c r="D116" t="s">
        <v>38</v>
      </c>
      <c r="E116" t="s">
        <v>39</v>
      </c>
      <c r="F116" t="s">
        <v>13</v>
      </c>
      <c r="G116" t="s">
        <v>22</v>
      </c>
      <c r="H116">
        <v>63.52</v>
      </c>
      <c r="I116">
        <v>18</v>
      </c>
      <c r="J116">
        <v>1143.3599999999999</v>
      </c>
    </row>
    <row r="117" spans="1:10" x14ac:dyDescent="0.3">
      <c r="A117">
        <v>116</v>
      </c>
      <c r="B117" s="1">
        <v>45940</v>
      </c>
      <c r="C117" t="s">
        <v>23</v>
      </c>
      <c r="D117" t="s">
        <v>26</v>
      </c>
      <c r="E117" t="s">
        <v>34</v>
      </c>
      <c r="F117" t="s">
        <v>33</v>
      </c>
      <c r="G117" t="s">
        <v>22</v>
      </c>
      <c r="H117">
        <v>21.63</v>
      </c>
      <c r="I117">
        <v>13</v>
      </c>
      <c r="J117">
        <v>281.19</v>
      </c>
    </row>
    <row r="118" spans="1:10" x14ac:dyDescent="0.3">
      <c r="A118">
        <v>117</v>
      </c>
      <c r="B118" s="1">
        <v>45917</v>
      </c>
      <c r="C118" t="s">
        <v>10</v>
      </c>
      <c r="D118" t="s">
        <v>36</v>
      </c>
      <c r="E118" t="s">
        <v>39</v>
      </c>
      <c r="F118" t="s">
        <v>13</v>
      </c>
      <c r="G118" t="s">
        <v>22</v>
      </c>
      <c r="H118">
        <v>35.72</v>
      </c>
      <c r="I118">
        <v>1</v>
      </c>
      <c r="J118">
        <v>35.72</v>
      </c>
    </row>
    <row r="119" spans="1:10" x14ac:dyDescent="0.3">
      <c r="A119">
        <v>118</v>
      </c>
      <c r="B119" s="1">
        <v>45933</v>
      </c>
      <c r="C119" t="s">
        <v>35</v>
      </c>
      <c r="D119" t="s">
        <v>38</v>
      </c>
      <c r="E119" t="s">
        <v>24</v>
      </c>
      <c r="F119" t="s">
        <v>13</v>
      </c>
      <c r="G119" t="s">
        <v>14</v>
      </c>
      <c r="H119">
        <v>60.7</v>
      </c>
      <c r="I119">
        <v>22</v>
      </c>
      <c r="J119">
        <v>1335.4</v>
      </c>
    </row>
    <row r="120" spans="1:10" x14ac:dyDescent="0.3">
      <c r="A120">
        <v>119</v>
      </c>
      <c r="B120" s="1">
        <v>45780</v>
      </c>
      <c r="C120" t="s">
        <v>35</v>
      </c>
      <c r="D120" t="s">
        <v>40</v>
      </c>
      <c r="E120" t="s">
        <v>24</v>
      </c>
      <c r="F120" t="s">
        <v>33</v>
      </c>
      <c r="G120" t="s">
        <v>14</v>
      </c>
      <c r="H120">
        <v>70.760000000000005</v>
      </c>
      <c r="I120">
        <v>15</v>
      </c>
      <c r="J120">
        <v>1061.4000000000001</v>
      </c>
    </row>
    <row r="121" spans="1:10" x14ac:dyDescent="0.3">
      <c r="A121">
        <v>120</v>
      </c>
      <c r="B121" s="1">
        <v>45853</v>
      </c>
      <c r="C121" t="s">
        <v>23</v>
      </c>
      <c r="D121" t="s">
        <v>38</v>
      </c>
      <c r="E121" t="s">
        <v>17</v>
      </c>
      <c r="F121" t="s">
        <v>13</v>
      </c>
      <c r="G121" t="s">
        <v>14</v>
      </c>
      <c r="H121">
        <v>49.4</v>
      </c>
      <c r="I121">
        <v>43</v>
      </c>
      <c r="J121">
        <v>2124.1999999999998</v>
      </c>
    </row>
    <row r="122" spans="1:10" x14ac:dyDescent="0.3">
      <c r="A122">
        <v>121</v>
      </c>
      <c r="B122" s="1">
        <v>45960</v>
      </c>
      <c r="C122" t="s">
        <v>27</v>
      </c>
      <c r="D122" t="s">
        <v>26</v>
      </c>
      <c r="E122" t="s">
        <v>39</v>
      </c>
      <c r="F122" t="s">
        <v>18</v>
      </c>
      <c r="G122" t="s">
        <v>14</v>
      </c>
      <c r="H122">
        <v>43.18</v>
      </c>
      <c r="I122">
        <v>7</v>
      </c>
      <c r="J122">
        <v>302.26</v>
      </c>
    </row>
    <row r="123" spans="1:10" x14ac:dyDescent="0.3">
      <c r="A123">
        <v>122</v>
      </c>
      <c r="B123" s="1">
        <v>45731</v>
      </c>
      <c r="C123" t="s">
        <v>23</v>
      </c>
      <c r="D123" t="s">
        <v>26</v>
      </c>
      <c r="E123" t="s">
        <v>39</v>
      </c>
      <c r="F123" t="s">
        <v>25</v>
      </c>
      <c r="G123" t="s">
        <v>22</v>
      </c>
      <c r="H123">
        <v>52.15</v>
      </c>
      <c r="I123">
        <v>42</v>
      </c>
      <c r="J123">
        <v>2190.3000000000002</v>
      </c>
    </row>
    <row r="124" spans="1:10" x14ac:dyDescent="0.3">
      <c r="A124">
        <v>123</v>
      </c>
      <c r="B124" s="1">
        <v>45977</v>
      </c>
      <c r="C124" t="s">
        <v>15</v>
      </c>
      <c r="D124" t="s">
        <v>31</v>
      </c>
      <c r="E124" t="s">
        <v>21</v>
      </c>
      <c r="F124" t="s">
        <v>25</v>
      </c>
      <c r="G124" t="s">
        <v>14</v>
      </c>
      <c r="H124">
        <v>84.66</v>
      </c>
      <c r="I124">
        <v>42</v>
      </c>
      <c r="J124">
        <v>3555.72</v>
      </c>
    </row>
    <row r="125" spans="1:10" x14ac:dyDescent="0.3">
      <c r="A125">
        <v>124</v>
      </c>
      <c r="B125" s="1">
        <v>45907</v>
      </c>
      <c r="C125" t="s">
        <v>15</v>
      </c>
      <c r="D125" t="s">
        <v>11</v>
      </c>
      <c r="E125" t="s">
        <v>34</v>
      </c>
      <c r="F125" t="s">
        <v>13</v>
      </c>
      <c r="G125" t="s">
        <v>14</v>
      </c>
      <c r="H125">
        <v>105.32</v>
      </c>
      <c r="I125">
        <v>3</v>
      </c>
      <c r="J125">
        <v>315.95999999999998</v>
      </c>
    </row>
    <row r="126" spans="1:10" x14ac:dyDescent="0.3">
      <c r="A126">
        <v>125</v>
      </c>
      <c r="B126" s="1">
        <v>45704</v>
      </c>
      <c r="C126" t="s">
        <v>15</v>
      </c>
      <c r="D126" t="s">
        <v>38</v>
      </c>
      <c r="E126" t="s">
        <v>32</v>
      </c>
      <c r="F126" t="s">
        <v>25</v>
      </c>
      <c r="G126" t="s">
        <v>19</v>
      </c>
      <c r="H126">
        <v>54.91</v>
      </c>
      <c r="I126">
        <v>7</v>
      </c>
      <c r="J126">
        <v>384.37</v>
      </c>
    </row>
    <row r="127" spans="1:10" x14ac:dyDescent="0.3">
      <c r="A127">
        <v>126</v>
      </c>
      <c r="B127" s="1">
        <v>45681</v>
      </c>
      <c r="C127" t="s">
        <v>10</v>
      </c>
      <c r="D127" t="s">
        <v>31</v>
      </c>
      <c r="E127" t="s">
        <v>24</v>
      </c>
      <c r="F127" t="s">
        <v>33</v>
      </c>
      <c r="G127" t="s">
        <v>19</v>
      </c>
      <c r="H127">
        <v>42.3</v>
      </c>
      <c r="I127">
        <v>4</v>
      </c>
      <c r="J127">
        <v>169.2</v>
      </c>
    </row>
    <row r="128" spans="1:10" x14ac:dyDescent="0.3">
      <c r="A128">
        <v>127</v>
      </c>
      <c r="B128" s="1">
        <v>45783</v>
      </c>
      <c r="C128" t="s">
        <v>23</v>
      </c>
      <c r="D128" t="s">
        <v>37</v>
      </c>
      <c r="E128" t="s">
        <v>32</v>
      </c>
      <c r="F128" t="s">
        <v>18</v>
      </c>
      <c r="G128" t="s">
        <v>14</v>
      </c>
      <c r="H128">
        <v>66.08</v>
      </c>
      <c r="I128">
        <v>37</v>
      </c>
      <c r="J128">
        <v>2444.96</v>
      </c>
    </row>
    <row r="129" spans="1:10" x14ac:dyDescent="0.3">
      <c r="A129">
        <v>128</v>
      </c>
      <c r="B129" s="1">
        <v>45853</v>
      </c>
      <c r="C129" t="s">
        <v>27</v>
      </c>
      <c r="D129" t="s">
        <v>37</v>
      </c>
      <c r="E129" t="s">
        <v>12</v>
      </c>
      <c r="F129" t="s">
        <v>33</v>
      </c>
      <c r="G129" t="s">
        <v>14</v>
      </c>
      <c r="H129">
        <v>76.27</v>
      </c>
      <c r="I129">
        <v>16</v>
      </c>
      <c r="J129">
        <v>1220.32</v>
      </c>
    </row>
    <row r="130" spans="1:10" x14ac:dyDescent="0.3">
      <c r="A130">
        <v>129</v>
      </c>
      <c r="B130" s="1">
        <v>45788</v>
      </c>
      <c r="C130" t="s">
        <v>20</v>
      </c>
      <c r="D130" t="s">
        <v>38</v>
      </c>
      <c r="E130" t="s">
        <v>34</v>
      </c>
      <c r="F130" t="s">
        <v>13</v>
      </c>
      <c r="G130" t="s">
        <v>19</v>
      </c>
      <c r="H130">
        <v>57.85</v>
      </c>
      <c r="I130">
        <v>43</v>
      </c>
      <c r="J130">
        <v>2487.5500000000002</v>
      </c>
    </row>
    <row r="131" spans="1:10" x14ac:dyDescent="0.3">
      <c r="A131">
        <v>130</v>
      </c>
      <c r="B131" s="1">
        <v>45884</v>
      </c>
      <c r="C131" t="s">
        <v>10</v>
      </c>
      <c r="D131" t="s">
        <v>16</v>
      </c>
      <c r="E131" t="s">
        <v>34</v>
      </c>
      <c r="F131" t="s">
        <v>33</v>
      </c>
      <c r="G131" t="s">
        <v>22</v>
      </c>
      <c r="H131">
        <v>113.7</v>
      </c>
      <c r="I131">
        <v>38</v>
      </c>
      <c r="J131">
        <v>4320.6000000000004</v>
      </c>
    </row>
    <row r="132" spans="1:10" x14ac:dyDescent="0.3">
      <c r="A132">
        <v>131</v>
      </c>
      <c r="B132" s="1">
        <v>45759</v>
      </c>
      <c r="C132" t="s">
        <v>15</v>
      </c>
      <c r="D132" t="s">
        <v>11</v>
      </c>
      <c r="E132" t="s">
        <v>21</v>
      </c>
      <c r="F132" t="s">
        <v>25</v>
      </c>
      <c r="G132" t="s">
        <v>14</v>
      </c>
      <c r="H132">
        <v>119.93</v>
      </c>
      <c r="I132">
        <v>31</v>
      </c>
      <c r="J132">
        <v>3717.83</v>
      </c>
    </row>
    <row r="133" spans="1:10" x14ac:dyDescent="0.3">
      <c r="A133">
        <v>132</v>
      </c>
      <c r="B133" s="1">
        <v>45809</v>
      </c>
      <c r="C133" t="s">
        <v>20</v>
      </c>
      <c r="D133" t="s">
        <v>16</v>
      </c>
      <c r="E133" t="s">
        <v>34</v>
      </c>
      <c r="F133" t="s">
        <v>18</v>
      </c>
      <c r="G133" t="s">
        <v>14</v>
      </c>
      <c r="H133">
        <v>119.16</v>
      </c>
      <c r="I133">
        <v>19</v>
      </c>
      <c r="J133">
        <v>2264.04</v>
      </c>
    </row>
    <row r="134" spans="1:10" x14ac:dyDescent="0.3">
      <c r="A134">
        <v>133</v>
      </c>
      <c r="B134" s="1">
        <v>46009</v>
      </c>
      <c r="C134" t="s">
        <v>27</v>
      </c>
      <c r="D134" t="s">
        <v>36</v>
      </c>
      <c r="E134" t="s">
        <v>12</v>
      </c>
      <c r="F134" t="s">
        <v>25</v>
      </c>
      <c r="G134" t="s">
        <v>19</v>
      </c>
      <c r="H134">
        <v>94.51</v>
      </c>
      <c r="I134">
        <v>4</v>
      </c>
      <c r="J134">
        <v>378.04</v>
      </c>
    </row>
    <row r="135" spans="1:10" x14ac:dyDescent="0.3">
      <c r="A135">
        <v>134</v>
      </c>
      <c r="B135" s="1">
        <v>45983</v>
      </c>
      <c r="C135" t="s">
        <v>23</v>
      </c>
      <c r="D135" t="s">
        <v>26</v>
      </c>
      <c r="E135" t="s">
        <v>17</v>
      </c>
      <c r="F135" t="s">
        <v>25</v>
      </c>
      <c r="G135" t="s">
        <v>22</v>
      </c>
      <c r="H135">
        <v>26.87</v>
      </c>
      <c r="I135">
        <v>17</v>
      </c>
      <c r="J135">
        <v>456.79</v>
      </c>
    </row>
    <row r="136" spans="1:10" x14ac:dyDescent="0.3">
      <c r="A136">
        <v>135</v>
      </c>
      <c r="B136" s="1">
        <v>45675</v>
      </c>
      <c r="C136" t="s">
        <v>23</v>
      </c>
      <c r="D136" t="s">
        <v>26</v>
      </c>
      <c r="E136" t="s">
        <v>34</v>
      </c>
      <c r="F136" t="s">
        <v>25</v>
      </c>
      <c r="G136" t="s">
        <v>14</v>
      </c>
      <c r="H136">
        <v>71.650000000000006</v>
      </c>
      <c r="I136">
        <v>47</v>
      </c>
      <c r="J136">
        <v>3367.55</v>
      </c>
    </row>
    <row r="137" spans="1:10" x14ac:dyDescent="0.3">
      <c r="A137">
        <v>136</v>
      </c>
      <c r="B137" s="1">
        <v>45870</v>
      </c>
      <c r="C137" t="s">
        <v>28</v>
      </c>
      <c r="D137" t="s">
        <v>36</v>
      </c>
      <c r="E137" t="s">
        <v>32</v>
      </c>
      <c r="F137" t="s">
        <v>25</v>
      </c>
      <c r="G137" t="s">
        <v>22</v>
      </c>
      <c r="H137">
        <v>25.2</v>
      </c>
      <c r="I137">
        <v>9</v>
      </c>
      <c r="J137">
        <v>226.8</v>
      </c>
    </row>
    <row r="138" spans="1:10" x14ac:dyDescent="0.3">
      <c r="A138">
        <v>137</v>
      </c>
      <c r="B138" s="1">
        <v>45809</v>
      </c>
      <c r="C138" t="s">
        <v>15</v>
      </c>
      <c r="D138" t="s">
        <v>38</v>
      </c>
      <c r="E138" t="s">
        <v>29</v>
      </c>
      <c r="F138" t="s">
        <v>13</v>
      </c>
      <c r="G138" t="s">
        <v>19</v>
      </c>
      <c r="H138">
        <v>90.85</v>
      </c>
      <c r="I138">
        <v>22</v>
      </c>
      <c r="J138">
        <v>1998.7</v>
      </c>
    </row>
    <row r="139" spans="1:10" x14ac:dyDescent="0.3">
      <c r="A139">
        <v>138</v>
      </c>
      <c r="B139" s="1">
        <v>46004</v>
      </c>
      <c r="C139" t="s">
        <v>28</v>
      </c>
      <c r="D139" t="s">
        <v>26</v>
      </c>
      <c r="E139" t="s">
        <v>21</v>
      </c>
      <c r="F139" t="s">
        <v>18</v>
      </c>
      <c r="G139" t="s">
        <v>22</v>
      </c>
      <c r="H139">
        <v>88.28</v>
      </c>
      <c r="I139">
        <v>26</v>
      </c>
      <c r="J139">
        <v>2295.2800000000002</v>
      </c>
    </row>
    <row r="140" spans="1:10" x14ac:dyDescent="0.3">
      <c r="A140">
        <v>139</v>
      </c>
      <c r="B140" s="1">
        <v>45932</v>
      </c>
      <c r="C140" t="s">
        <v>10</v>
      </c>
      <c r="D140" t="s">
        <v>16</v>
      </c>
      <c r="E140" t="s">
        <v>24</v>
      </c>
      <c r="F140" t="s">
        <v>18</v>
      </c>
      <c r="G140" t="s">
        <v>14</v>
      </c>
      <c r="H140">
        <v>19.21</v>
      </c>
      <c r="I140">
        <v>24</v>
      </c>
      <c r="J140">
        <v>461.04</v>
      </c>
    </row>
    <row r="141" spans="1:10" x14ac:dyDescent="0.3">
      <c r="A141">
        <v>140</v>
      </c>
      <c r="B141" s="1">
        <v>45777</v>
      </c>
      <c r="C141" t="s">
        <v>28</v>
      </c>
      <c r="D141" t="s">
        <v>11</v>
      </c>
      <c r="E141" t="s">
        <v>29</v>
      </c>
      <c r="F141" t="s">
        <v>33</v>
      </c>
      <c r="G141" t="s">
        <v>14</v>
      </c>
      <c r="H141">
        <v>59.22</v>
      </c>
      <c r="I141">
        <v>40</v>
      </c>
      <c r="J141">
        <v>2368.8000000000002</v>
      </c>
    </row>
    <row r="142" spans="1:10" x14ac:dyDescent="0.3">
      <c r="A142">
        <v>141</v>
      </c>
      <c r="B142" s="1">
        <v>45812</v>
      </c>
      <c r="C142" t="s">
        <v>23</v>
      </c>
      <c r="D142" t="s">
        <v>40</v>
      </c>
      <c r="E142" t="s">
        <v>17</v>
      </c>
      <c r="F142" t="s">
        <v>25</v>
      </c>
      <c r="G142" t="s">
        <v>22</v>
      </c>
      <c r="H142">
        <v>79.66</v>
      </c>
      <c r="I142">
        <v>8</v>
      </c>
      <c r="J142">
        <v>637.28</v>
      </c>
    </row>
    <row r="143" spans="1:10" x14ac:dyDescent="0.3">
      <c r="A143">
        <v>142</v>
      </c>
      <c r="B143" s="1">
        <v>45717</v>
      </c>
      <c r="C143" t="s">
        <v>23</v>
      </c>
      <c r="D143" t="s">
        <v>16</v>
      </c>
      <c r="E143" t="s">
        <v>39</v>
      </c>
      <c r="F143" t="s">
        <v>25</v>
      </c>
      <c r="G143" t="s">
        <v>14</v>
      </c>
      <c r="H143">
        <v>16.18</v>
      </c>
      <c r="I143">
        <v>35</v>
      </c>
      <c r="J143">
        <v>566.29999999999995</v>
      </c>
    </row>
    <row r="144" spans="1:10" x14ac:dyDescent="0.3">
      <c r="A144">
        <v>143</v>
      </c>
      <c r="B144" s="1">
        <v>46014</v>
      </c>
      <c r="C144" t="s">
        <v>23</v>
      </c>
      <c r="D144" t="s">
        <v>16</v>
      </c>
      <c r="E144" t="s">
        <v>29</v>
      </c>
      <c r="F144" t="s">
        <v>33</v>
      </c>
      <c r="G144" t="s">
        <v>14</v>
      </c>
      <c r="H144">
        <v>113.79</v>
      </c>
      <c r="I144">
        <v>27</v>
      </c>
      <c r="J144">
        <v>3072.33</v>
      </c>
    </row>
    <row r="145" spans="1:10" x14ac:dyDescent="0.3">
      <c r="A145">
        <v>144</v>
      </c>
      <c r="B145" s="1">
        <v>45866</v>
      </c>
      <c r="C145" t="s">
        <v>20</v>
      </c>
      <c r="D145" t="s">
        <v>31</v>
      </c>
      <c r="E145" t="s">
        <v>12</v>
      </c>
      <c r="F145" t="s">
        <v>33</v>
      </c>
      <c r="G145" t="s">
        <v>22</v>
      </c>
      <c r="H145">
        <v>112.99</v>
      </c>
      <c r="I145">
        <v>18</v>
      </c>
      <c r="J145">
        <v>2033.82</v>
      </c>
    </row>
    <row r="146" spans="1:10" x14ac:dyDescent="0.3">
      <c r="A146">
        <v>145</v>
      </c>
      <c r="B146" s="1">
        <v>45778</v>
      </c>
      <c r="C146" t="s">
        <v>28</v>
      </c>
      <c r="D146" t="s">
        <v>31</v>
      </c>
      <c r="E146" t="s">
        <v>17</v>
      </c>
      <c r="F146" t="s">
        <v>33</v>
      </c>
      <c r="G146" t="s">
        <v>22</v>
      </c>
      <c r="H146">
        <v>103.38</v>
      </c>
      <c r="I146">
        <v>7</v>
      </c>
      <c r="J146">
        <v>723.66</v>
      </c>
    </row>
    <row r="147" spans="1:10" x14ac:dyDescent="0.3">
      <c r="A147">
        <v>146</v>
      </c>
      <c r="B147" s="1">
        <v>45755</v>
      </c>
      <c r="C147" t="s">
        <v>15</v>
      </c>
      <c r="D147" t="s">
        <v>11</v>
      </c>
      <c r="E147" t="s">
        <v>17</v>
      </c>
      <c r="F147" t="s">
        <v>18</v>
      </c>
      <c r="G147" t="s">
        <v>22</v>
      </c>
      <c r="H147">
        <v>116.34</v>
      </c>
      <c r="I147">
        <v>30</v>
      </c>
      <c r="J147">
        <v>3490.2</v>
      </c>
    </row>
    <row r="148" spans="1:10" x14ac:dyDescent="0.3">
      <c r="A148">
        <v>147</v>
      </c>
      <c r="B148" s="1">
        <v>45782</v>
      </c>
      <c r="C148" t="s">
        <v>30</v>
      </c>
      <c r="D148" t="s">
        <v>26</v>
      </c>
      <c r="E148" t="s">
        <v>12</v>
      </c>
      <c r="F148" t="s">
        <v>13</v>
      </c>
      <c r="G148" t="s">
        <v>19</v>
      </c>
      <c r="H148">
        <v>118.71</v>
      </c>
      <c r="I148">
        <v>37</v>
      </c>
      <c r="J148">
        <v>4392.2700000000004</v>
      </c>
    </row>
    <row r="149" spans="1:10" x14ac:dyDescent="0.3">
      <c r="A149">
        <v>148</v>
      </c>
      <c r="B149" s="1">
        <v>45826</v>
      </c>
      <c r="C149" t="s">
        <v>20</v>
      </c>
      <c r="D149" t="s">
        <v>36</v>
      </c>
      <c r="E149" t="s">
        <v>32</v>
      </c>
      <c r="F149" t="s">
        <v>13</v>
      </c>
      <c r="G149" t="s">
        <v>14</v>
      </c>
      <c r="H149">
        <v>94.05</v>
      </c>
      <c r="I149">
        <v>39</v>
      </c>
      <c r="J149">
        <v>3667.95</v>
      </c>
    </row>
    <row r="150" spans="1:10" x14ac:dyDescent="0.3">
      <c r="A150">
        <v>149</v>
      </c>
      <c r="B150" s="1">
        <v>45786</v>
      </c>
      <c r="C150" t="s">
        <v>20</v>
      </c>
      <c r="D150" t="s">
        <v>37</v>
      </c>
      <c r="E150" t="s">
        <v>17</v>
      </c>
      <c r="F150" t="s">
        <v>25</v>
      </c>
      <c r="G150" t="s">
        <v>19</v>
      </c>
      <c r="H150">
        <v>96.83</v>
      </c>
      <c r="I150">
        <v>8</v>
      </c>
      <c r="J150">
        <v>774.64</v>
      </c>
    </row>
    <row r="151" spans="1:10" x14ac:dyDescent="0.3">
      <c r="A151">
        <v>150</v>
      </c>
      <c r="B151" s="1">
        <v>45959</v>
      </c>
      <c r="C151" t="s">
        <v>10</v>
      </c>
      <c r="D151" t="s">
        <v>40</v>
      </c>
      <c r="E151" t="s">
        <v>32</v>
      </c>
      <c r="F151" t="s">
        <v>33</v>
      </c>
      <c r="G151" t="s">
        <v>14</v>
      </c>
      <c r="H151">
        <v>42.23</v>
      </c>
      <c r="I151">
        <v>12</v>
      </c>
      <c r="J151">
        <v>506.76</v>
      </c>
    </row>
    <row r="152" spans="1:10" x14ac:dyDescent="0.3">
      <c r="A152">
        <v>151</v>
      </c>
      <c r="B152" s="1">
        <v>45716</v>
      </c>
      <c r="C152" t="s">
        <v>27</v>
      </c>
      <c r="D152" t="s">
        <v>31</v>
      </c>
      <c r="E152" t="s">
        <v>29</v>
      </c>
      <c r="F152" t="s">
        <v>33</v>
      </c>
      <c r="G152" t="s">
        <v>14</v>
      </c>
      <c r="H152">
        <v>90.75</v>
      </c>
      <c r="I152">
        <v>31</v>
      </c>
      <c r="J152">
        <v>2813.25</v>
      </c>
    </row>
    <row r="153" spans="1:10" x14ac:dyDescent="0.3">
      <c r="A153">
        <v>152</v>
      </c>
      <c r="B153" s="1">
        <v>45771</v>
      </c>
      <c r="C153" t="s">
        <v>10</v>
      </c>
      <c r="D153" t="s">
        <v>38</v>
      </c>
      <c r="E153" t="s">
        <v>17</v>
      </c>
      <c r="F153" t="s">
        <v>18</v>
      </c>
      <c r="G153" t="s">
        <v>22</v>
      </c>
      <c r="H153">
        <v>113.72</v>
      </c>
      <c r="I153">
        <v>3</v>
      </c>
      <c r="J153">
        <v>341.16</v>
      </c>
    </row>
    <row r="154" spans="1:10" x14ac:dyDescent="0.3">
      <c r="A154">
        <v>153</v>
      </c>
      <c r="B154" s="1">
        <v>45863</v>
      </c>
      <c r="C154" t="s">
        <v>27</v>
      </c>
      <c r="D154" t="s">
        <v>38</v>
      </c>
      <c r="E154" t="s">
        <v>29</v>
      </c>
      <c r="F154" t="s">
        <v>18</v>
      </c>
      <c r="G154" t="s">
        <v>22</v>
      </c>
      <c r="H154">
        <v>54.02</v>
      </c>
      <c r="I154">
        <v>7</v>
      </c>
      <c r="J154">
        <v>378.14</v>
      </c>
    </row>
    <row r="155" spans="1:10" x14ac:dyDescent="0.3">
      <c r="A155">
        <v>154</v>
      </c>
      <c r="B155" s="1">
        <v>45969</v>
      </c>
      <c r="C155" t="s">
        <v>10</v>
      </c>
      <c r="D155" t="s">
        <v>31</v>
      </c>
      <c r="E155" t="s">
        <v>21</v>
      </c>
      <c r="F155" t="s">
        <v>25</v>
      </c>
      <c r="G155" t="s">
        <v>22</v>
      </c>
      <c r="H155">
        <v>22.06</v>
      </c>
      <c r="I155">
        <v>9</v>
      </c>
      <c r="J155">
        <v>198.54</v>
      </c>
    </row>
    <row r="156" spans="1:10" x14ac:dyDescent="0.3">
      <c r="A156">
        <v>155</v>
      </c>
      <c r="B156" s="1">
        <v>45916</v>
      </c>
      <c r="C156" t="s">
        <v>15</v>
      </c>
      <c r="D156" t="s">
        <v>11</v>
      </c>
      <c r="E156" t="s">
        <v>21</v>
      </c>
      <c r="F156" t="s">
        <v>33</v>
      </c>
      <c r="G156" t="s">
        <v>19</v>
      </c>
      <c r="H156">
        <v>74.62</v>
      </c>
      <c r="I156">
        <v>7</v>
      </c>
      <c r="J156">
        <v>522.34</v>
      </c>
    </row>
    <row r="157" spans="1:10" x14ac:dyDescent="0.3">
      <c r="A157">
        <v>156</v>
      </c>
      <c r="B157" s="1">
        <v>45869</v>
      </c>
      <c r="C157" t="s">
        <v>35</v>
      </c>
      <c r="D157" t="s">
        <v>16</v>
      </c>
      <c r="E157" t="s">
        <v>29</v>
      </c>
      <c r="F157" t="s">
        <v>25</v>
      </c>
      <c r="G157" t="s">
        <v>22</v>
      </c>
      <c r="H157">
        <v>43.98</v>
      </c>
      <c r="I157">
        <v>30</v>
      </c>
      <c r="J157">
        <v>1319.4</v>
      </c>
    </row>
    <row r="158" spans="1:10" x14ac:dyDescent="0.3">
      <c r="A158">
        <v>157</v>
      </c>
      <c r="B158" s="1">
        <v>45818</v>
      </c>
      <c r="C158" t="s">
        <v>23</v>
      </c>
      <c r="D158" t="s">
        <v>38</v>
      </c>
      <c r="E158" t="s">
        <v>29</v>
      </c>
      <c r="F158" t="s">
        <v>18</v>
      </c>
      <c r="G158" t="s">
        <v>19</v>
      </c>
      <c r="H158">
        <v>81.489999999999995</v>
      </c>
      <c r="I158">
        <v>24</v>
      </c>
      <c r="J158">
        <v>1955.76</v>
      </c>
    </row>
    <row r="159" spans="1:10" x14ac:dyDescent="0.3">
      <c r="A159">
        <v>158</v>
      </c>
      <c r="B159" s="1">
        <v>45705</v>
      </c>
      <c r="C159" t="s">
        <v>28</v>
      </c>
      <c r="D159" t="s">
        <v>37</v>
      </c>
      <c r="E159" t="s">
        <v>17</v>
      </c>
      <c r="F159" t="s">
        <v>25</v>
      </c>
      <c r="G159" t="s">
        <v>14</v>
      </c>
      <c r="H159">
        <v>54.67</v>
      </c>
      <c r="I159">
        <v>48</v>
      </c>
      <c r="J159">
        <v>2624.16</v>
      </c>
    </row>
    <row r="160" spans="1:10" x14ac:dyDescent="0.3">
      <c r="A160">
        <v>159</v>
      </c>
      <c r="B160" s="1">
        <v>45720</v>
      </c>
      <c r="C160" t="s">
        <v>35</v>
      </c>
      <c r="D160" t="s">
        <v>40</v>
      </c>
      <c r="E160" t="s">
        <v>34</v>
      </c>
      <c r="F160" t="s">
        <v>25</v>
      </c>
      <c r="G160" t="s">
        <v>22</v>
      </c>
      <c r="H160">
        <v>52.24</v>
      </c>
      <c r="I160">
        <v>43</v>
      </c>
      <c r="J160">
        <v>2246.3200000000002</v>
      </c>
    </row>
    <row r="161" spans="1:10" x14ac:dyDescent="0.3">
      <c r="A161">
        <v>160</v>
      </c>
      <c r="B161" s="1">
        <v>45711</v>
      </c>
      <c r="C161" t="s">
        <v>23</v>
      </c>
      <c r="D161" t="s">
        <v>38</v>
      </c>
      <c r="E161" t="s">
        <v>12</v>
      </c>
      <c r="F161" t="s">
        <v>18</v>
      </c>
      <c r="G161" t="s">
        <v>22</v>
      </c>
      <c r="H161">
        <v>71.459999999999994</v>
      </c>
      <c r="I161">
        <v>14</v>
      </c>
      <c r="J161">
        <v>1000.44</v>
      </c>
    </row>
    <row r="162" spans="1:10" x14ac:dyDescent="0.3">
      <c r="A162">
        <v>161</v>
      </c>
      <c r="B162" s="1">
        <v>45942</v>
      </c>
      <c r="C162" t="s">
        <v>10</v>
      </c>
      <c r="D162" t="s">
        <v>11</v>
      </c>
      <c r="E162" t="s">
        <v>21</v>
      </c>
      <c r="F162" t="s">
        <v>18</v>
      </c>
      <c r="G162" t="s">
        <v>14</v>
      </c>
      <c r="H162">
        <v>47.27</v>
      </c>
      <c r="I162">
        <v>49</v>
      </c>
      <c r="J162">
        <v>2316.23</v>
      </c>
    </row>
    <row r="163" spans="1:10" x14ac:dyDescent="0.3">
      <c r="A163">
        <v>162</v>
      </c>
      <c r="B163" s="1">
        <v>45994</v>
      </c>
      <c r="C163" t="s">
        <v>20</v>
      </c>
      <c r="D163" t="s">
        <v>37</v>
      </c>
      <c r="E163" t="s">
        <v>34</v>
      </c>
      <c r="F163" t="s">
        <v>25</v>
      </c>
      <c r="G163" t="s">
        <v>22</v>
      </c>
      <c r="H163">
        <v>100.39</v>
      </c>
      <c r="I163">
        <v>18</v>
      </c>
      <c r="J163">
        <v>1807.02</v>
      </c>
    </row>
    <row r="164" spans="1:10" x14ac:dyDescent="0.3">
      <c r="A164">
        <v>163</v>
      </c>
      <c r="B164" s="1">
        <v>45837</v>
      </c>
      <c r="C164" t="s">
        <v>35</v>
      </c>
      <c r="D164" t="s">
        <v>26</v>
      </c>
      <c r="E164" t="s">
        <v>32</v>
      </c>
      <c r="F164" t="s">
        <v>18</v>
      </c>
      <c r="G164" t="s">
        <v>19</v>
      </c>
      <c r="H164">
        <v>5.7</v>
      </c>
      <c r="I164">
        <v>10</v>
      </c>
      <c r="J164">
        <v>57</v>
      </c>
    </row>
    <row r="165" spans="1:10" x14ac:dyDescent="0.3">
      <c r="A165">
        <v>164</v>
      </c>
      <c r="B165" s="1">
        <v>45929</v>
      </c>
      <c r="C165" t="s">
        <v>27</v>
      </c>
      <c r="D165" t="s">
        <v>31</v>
      </c>
      <c r="E165" t="s">
        <v>32</v>
      </c>
      <c r="F165" t="s">
        <v>25</v>
      </c>
      <c r="G165" t="s">
        <v>22</v>
      </c>
      <c r="H165">
        <v>29.74</v>
      </c>
      <c r="I165">
        <v>27</v>
      </c>
      <c r="J165">
        <v>802.98</v>
      </c>
    </row>
    <row r="166" spans="1:10" x14ac:dyDescent="0.3">
      <c r="A166">
        <v>165</v>
      </c>
      <c r="B166" s="1">
        <v>45824</v>
      </c>
      <c r="C166" t="s">
        <v>15</v>
      </c>
      <c r="D166" t="s">
        <v>40</v>
      </c>
      <c r="E166" t="s">
        <v>32</v>
      </c>
      <c r="F166" t="s">
        <v>13</v>
      </c>
      <c r="G166" t="s">
        <v>14</v>
      </c>
      <c r="H166">
        <v>94.34</v>
      </c>
      <c r="I166">
        <v>37</v>
      </c>
      <c r="J166">
        <v>3490.58</v>
      </c>
    </row>
    <row r="167" spans="1:10" x14ac:dyDescent="0.3">
      <c r="A167">
        <v>166</v>
      </c>
      <c r="B167" s="1">
        <v>45683</v>
      </c>
      <c r="C167" t="s">
        <v>27</v>
      </c>
      <c r="D167" t="s">
        <v>16</v>
      </c>
      <c r="E167" t="s">
        <v>39</v>
      </c>
      <c r="F167" t="s">
        <v>33</v>
      </c>
      <c r="G167" t="s">
        <v>22</v>
      </c>
      <c r="H167">
        <v>82.51</v>
      </c>
      <c r="I167">
        <v>18</v>
      </c>
      <c r="J167">
        <v>1485.18</v>
      </c>
    </row>
    <row r="168" spans="1:10" x14ac:dyDescent="0.3">
      <c r="A168">
        <v>167</v>
      </c>
      <c r="B168" s="1">
        <v>45797</v>
      </c>
      <c r="C168" t="s">
        <v>15</v>
      </c>
      <c r="D168" t="s">
        <v>31</v>
      </c>
      <c r="E168" t="s">
        <v>21</v>
      </c>
      <c r="F168" t="s">
        <v>18</v>
      </c>
      <c r="G168" t="s">
        <v>22</v>
      </c>
      <c r="H168">
        <v>29.79</v>
      </c>
      <c r="I168">
        <v>33</v>
      </c>
      <c r="J168">
        <v>983.07</v>
      </c>
    </row>
    <row r="169" spans="1:10" x14ac:dyDescent="0.3">
      <c r="A169">
        <v>168</v>
      </c>
      <c r="B169" s="1">
        <v>46005</v>
      </c>
      <c r="C169" t="s">
        <v>10</v>
      </c>
      <c r="D169" t="s">
        <v>40</v>
      </c>
      <c r="E169" t="s">
        <v>12</v>
      </c>
      <c r="F169" t="s">
        <v>33</v>
      </c>
      <c r="G169" t="s">
        <v>14</v>
      </c>
      <c r="H169">
        <v>83.03</v>
      </c>
      <c r="I169">
        <v>32</v>
      </c>
      <c r="J169">
        <v>2656.96</v>
      </c>
    </row>
    <row r="170" spans="1:10" x14ac:dyDescent="0.3">
      <c r="A170">
        <v>169</v>
      </c>
      <c r="B170" s="1">
        <v>45686</v>
      </c>
      <c r="C170" t="s">
        <v>30</v>
      </c>
      <c r="D170" t="s">
        <v>37</v>
      </c>
      <c r="E170" t="s">
        <v>34</v>
      </c>
      <c r="F170" t="s">
        <v>25</v>
      </c>
      <c r="G170" t="s">
        <v>22</v>
      </c>
      <c r="H170">
        <v>5.88</v>
      </c>
      <c r="I170">
        <v>20</v>
      </c>
      <c r="J170">
        <v>117.6</v>
      </c>
    </row>
    <row r="171" spans="1:10" x14ac:dyDescent="0.3">
      <c r="A171">
        <v>170</v>
      </c>
      <c r="B171" s="1">
        <v>45719</v>
      </c>
      <c r="C171" t="s">
        <v>35</v>
      </c>
      <c r="D171" t="s">
        <v>37</v>
      </c>
      <c r="E171" t="s">
        <v>32</v>
      </c>
      <c r="F171" t="s">
        <v>33</v>
      </c>
      <c r="G171" t="s">
        <v>14</v>
      </c>
      <c r="H171">
        <v>5.89</v>
      </c>
      <c r="I171">
        <v>48</v>
      </c>
      <c r="J171">
        <v>282.72000000000003</v>
      </c>
    </row>
    <row r="172" spans="1:10" x14ac:dyDescent="0.3">
      <c r="A172">
        <v>171</v>
      </c>
      <c r="B172" s="1">
        <v>46018</v>
      </c>
      <c r="C172" t="s">
        <v>28</v>
      </c>
      <c r="D172" t="s">
        <v>26</v>
      </c>
      <c r="E172" t="s">
        <v>21</v>
      </c>
      <c r="F172" t="s">
        <v>18</v>
      </c>
      <c r="G172" t="s">
        <v>22</v>
      </c>
      <c r="H172">
        <v>31.46</v>
      </c>
      <c r="I172">
        <v>36</v>
      </c>
      <c r="J172">
        <v>1132.56</v>
      </c>
    </row>
    <row r="173" spans="1:10" x14ac:dyDescent="0.3">
      <c r="A173">
        <v>172</v>
      </c>
      <c r="B173" s="1">
        <v>45667</v>
      </c>
      <c r="C173" t="s">
        <v>28</v>
      </c>
      <c r="D173" t="s">
        <v>16</v>
      </c>
      <c r="E173" t="s">
        <v>21</v>
      </c>
      <c r="F173" t="s">
        <v>33</v>
      </c>
      <c r="G173" t="s">
        <v>22</v>
      </c>
      <c r="H173">
        <v>57.87</v>
      </c>
      <c r="I173">
        <v>5</v>
      </c>
      <c r="J173">
        <v>289.35000000000002</v>
      </c>
    </row>
    <row r="174" spans="1:10" x14ac:dyDescent="0.3">
      <c r="A174">
        <v>173</v>
      </c>
      <c r="B174" s="1">
        <v>45716</v>
      </c>
      <c r="C174" t="s">
        <v>23</v>
      </c>
      <c r="D174" t="s">
        <v>38</v>
      </c>
      <c r="E174" t="s">
        <v>24</v>
      </c>
      <c r="F174" t="s">
        <v>18</v>
      </c>
      <c r="G174" t="s">
        <v>22</v>
      </c>
      <c r="H174">
        <v>51.58</v>
      </c>
      <c r="I174">
        <v>21</v>
      </c>
      <c r="J174">
        <v>1083.18</v>
      </c>
    </row>
    <row r="175" spans="1:10" x14ac:dyDescent="0.3">
      <c r="A175">
        <v>174</v>
      </c>
      <c r="B175" s="1">
        <v>45712</v>
      </c>
      <c r="C175" t="s">
        <v>35</v>
      </c>
      <c r="D175" t="s">
        <v>26</v>
      </c>
      <c r="E175" t="s">
        <v>21</v>
      </c>
      <c r="F175" t="s">
        <v>25</v>
      </c>
      <c r="G175" t="s">
        <v>14</v>
      </c>
      <c r="H175">
        <v>32.979999999999997</v>
      </c>
      <c r="I175">
        <v>38</v>
      </c>
      <c r="J175">
        <v>1253.24</v>
      </c>
    </row>
    <row r="176" spans="1:10" x14ac:dyDescent="0.3">
      <c r="A176">
        <v>175</v>
      </c>
      <c r="B176" s="1">
        <v>45831</v>
      </c>
      <c r="C176" t="s">
        <v>23</v>
      </c>
      <c r="D176" t="s">
        <v>26</v>
      </c>
      <c r="E176" t="s">
        <v>29</v>
      </c>
      <c r="F176" t="s">
        <v>13</v>
      </c>
      <c r="G176" t="s">
        <v>22</v>
      </c>
      <c r="H176">
        <v>30.48</v>
      </c>
      <c r="I176">
        <v>50</v>
      </c>
      <c r="J176">
        <v>1524</v>
      </c>
    </row>
    <row r="177" spans="1:10" x14ac:dyDescent="0.3">
      <c r="A177">
        <v>176</v>
      </c>
      <c r="B177" s="1">
        <v>45837</v>
      </c>
      <c r="C177" t="s">
        <v>23</v>
      </c>
      <c r="D177" t="s">
        <v>11</v>
      </c>
      <c r="E177" t="s">
        <v>29</v>
      </c>
      <c r="F177" t="s">
        <v>13</v>
      </c>
      <c r="G177" t="s">
        <v>22</v>
      </c>
      <c r="H177">
        <v>88.65</v>
      </c>
      <c r="I177">
        <v>42</v>
      </c>
      <c r="J177">
        <v>3723.3</v>
      </c>
    </row>
    <row r="178" spans="1:10" x14ac:dyDescent="0.3">
      <c r="A178">
        <v>177</v>
      </c>
      <c r="B178" s="1">
        <v>45759</v>
      </c>
      <c r="C178" t="s">
        <v>15</v>
      </c>
      <c r="D178" t="s">
        <v>37</v>
      </c>
      <c r="E178" t="s">
        <v>39</v>
      </c>
      <c r="F178" t="s">
        <v>33</v>
      </c>
      <c r="G178" t="s">
        <v>14</v>
      </c>
      <c r="H178">
        <v>24.95</v>
      </c>
      <c r="I178">
        <v>10</v>
      </c>
      <c r="J178">
        <v>249.5</v>
      </c>
    </row>
    <row r="179" spans="1:10" x14ac:dyDescent="0.3">
      <c r="A179">
        <v>178</v>
      </c>
      <c r="B179" s="1">
        <v>45954</v>
      </c>
      <c r="C179" t="s">
        <v>28</v>
      </c>
      <c r="D179" t="s">
        <v>31</v>
      </c>
      <c r="E179" t="s">
        <v>32</v>
      </c>
      <c r="F179" t="s">
        <v>33</v>
      </c>
      <c r="G179" t="s">
        <v>19</v>
      </c>
      <c r="H179">
        <v>56.62</v>
      </c>
      <c r="I179">
        <v>37</v>
      </c>
      <c r="J179">
        <v>2094.94</v>
      </c>
    </row>
    <row r="180" spans="1:10" x14ac:dyDescent="0.3">
      <c r="A180">
        <v>179</v>
      </c>
      <c r="B180" s="1">
        <v>45898</v>
      </c>
      <c r="C180" t="s">
        <v>10</v>
      </c>
      <c r="D180" t="s">
        <v>40</v>
      </c>
      <c r="E180" t="s">
        <v>24</v>
      </c>
      <c r="F180" t="s">
        <v>18</v>
      </c>
      <c r="G180" t="s">
        <v>22</v>
      </c>
      <c r="H180">
        <v>55.85</v>
      </c>
      <c r="I180">
        <v>20</v>
      </c>
      <c r="J180">
        <v>1117</v>
      </c>
    </row>
    <row r="181" spans="1:10" x14ac:dyDescent="0.3">
      <c r="A181">
        <v>180</v>
      </c>
      <c r="B181" s="1">
        <v>45894</v>
      </c>
      <c r="C181" t="s">
        <v>28</v>
      </c>
      <c r="D181" t="s">
        <v>36</v>
      </c>
      <c r="E181" t="s">
        <v>29</v>
      </c>
      <c r="F181" t="s">
        <v>18</v>
      </c>
      <c r="G181" t="s">
        <v>14</v>
      </c>
      <c r="H181">
        <v>56.97</v>
      </c>
      <c r="I181">
        <v>4</v>
      </c>
      <c r="J181">
        <v>227.88</v>
      </c>
    </row>
    <row r="182" spans="1:10" x14ac:dyDescent="0.3">
      <c r="A182">
        <v>181</v>
      </c>
      <c r="B182" s="1">
        <v>45962</v>
      </c>
      <c r="C182" t="s">
        <v>20</v>
      </c>
      <c r="D182" t="s">
        <v>38</v>
      </c>
      <c r="E182" t="s">
        <v>12</v>
      </c>
      <c r="F182" t="s">
        <v>25</v>
      </c>
      <c r="G182" t="s">
        <v>14</v>
      </c>
      <c r="H182">
        <v>63.31</v>
      </c>
      <c r="I182">
        <v>30</v>
      </c>
      <c r="J182">
        <v>1899.3</v>
      </c>
    </row>
    <row r="183" spans="1:10" x14ac:dyDescent="0.3">
      <c r="A183">
        <v>182</v>
      </c>
      <c r="B183" s="1">
        <v>45901</v>
      </c>
      <c r="C183" t="s">
        <v>27</v>
      </c>
      <c r="D183" t="s">
        <v>26</v>
      </c>
      <c r="E183" t="s">
        <v>24</v>
      </c>
      <c r="F183" t="s">
        <v>18</v>
      </c>
      <c r="G183" t="s">
        <v>14</v>
      </c>
      <c r="H183">
        <v>62.66</v>
      </c>
      <c r="I183">
        <v>4</v>
      </c>
      <c r="J183">
        <v>250.64</v>
      </c>
    </row>
    <row r="184" spans="1:10" x14ac:dyDescent="0.3">
      <c r="A184">
        <v>183</v>
      </c>
      <c r="B184" s="1">
        <v>45988</v>
      </c>
      <c r="C184" t="s">
        <v>27</v>
      </c>
      <c r="D184" t="s">
        <v>38</v>
      </c>
      <c r="E184" t="s">
        <v>32</v>
      </c>
      <c r="F184" t="s">
        <v>25</v>
      </c>
      <c r="G184" t="s">
        <v>22</v>
      </c>
      <c r="H184">
        <v>24.84</v>
      </c>
      <c r="I184">
        <v>16</v>
      </c>
      <c r="J184">
        <v>397.44</v>
      </c>
    </row>
    <row r="185" spans="1:10" x14ac:dyDescent="0.3">
      <c r="A185">
        <v>184</v>
      </c>
      <c r="B185" s="1">
        <v>45802</v>
      </c>
      <c r="C185" t="s">
        <v>28</v>
      </c>
      <c r="D185" t="s">
        <v>40</v>
      </c>
      <c r="E185" t="s">
        <v>24</v>
      </c>
      <c r="F185" t="s">
        <v>18</v>
      </c>
      <c r="G185" t="s">
        <v>22</v>
      </c>
      <c r="H185">
        <v>49.55</v>
      </c>
      <c r="I185">
        <v>50</v>
      </c>
      <c r="J185">
        <v>2477.5</v>
      </c>
    </row>
    <row r="186" spans="1:10" x14ac:dyDescent="0.3">
      <c r="A186">
        <v>185</v>
      </c>
      <c r="B186" s="1">
        <v>45706</v>
      </c>
      <c r="C186" t="s">
        <v>10</v>
      </c>
      <c r="D186" t="s">
        <v>36</v>
      </c>
      <c r="E186" t="s">
        <v>32</v>
      </c>
      <c r="F186" t="s">
        <v>25</v>
      </c>
      <c r="G186" t="s">
        <v>19</v>
      </c>
      <c r="H186">
        <v>69.17</v>
      </c>
      <c r="I186">
        <v>25</v>
      </c>
      <c r="J186">
        <v>1729.25</v>
      </c>
    </row>
    <row r="187" spans="1:10" x14ac:dyDescent="0.3">
      <c r="A187">
        <v>186</v>
      </c>
      <c r="B187" s="1">
        <v>45956</v>
      </c>
      <c r="C187" t="s">
        <v>10</v>
      </c>
      <c r="D187" t="s">
        <v>16</v>
      </c>
      <c r="E187" t="s">
        <v>32</v>
      </c>
      <c r="F187" t="s">
        <v>18</v>
      </c>
      <c r="G187" t="s">
        <v>22</v>
      </c>
      <c r="H187">
        <v>81.319999999999993</v>
      </c>
      <c r="I187">
        <v>23</v>
      </c>
      <c r="J187">
        <v>1870.36</v>
      </c>
    </row>
    <row r="188" spans="1:10" x14ac:dyDescent="0.3">
      <c r="A188">
        <v>187</v>
      </c>
      <c r="B188" s="1">
        <v>45944</v>
      </c>
      <c r="C188" t="s">
        <v>23</v>
      </c>
      <c r="D188" t="s">
        <v>26</v>
      </c>
      <c r="E188" t="s">
        <v>21</v>
      </c>
      <c r="F188" t="s">
        <v>25</v>
      </c>
      <c r="G188" t="s">
        <v>19</v>
      </c>
      <c r="H188">
        <v>48.32</v>
      </c>
      <c r="I188">
        <v>22</v>
      </c>
      <c r="J188">
        <v>1063.04</v>
      </c>
    </row>
    <row r="189" spans="1:10" x14ac:dyDescent="0.3">
      <c r="A189">
        <v>188</v>
      </c>
      <c r="B189" s="1">
        <v>45843</v>
      </c>
      <c r="C189" t="s">
        <v>28</v>
      </c>
      <c r="D189" t="s">
        <v>38</v>
      </c>
      <c r="E189" t="s">
        <v>12</v>
      </c>
      <c r="F189" t="s">
        <v>13</v>
      </c>
      <c r="G189" t="s">
        <v>19</v>
      </c>
      <c r="H189">
        <v>40.520000000000003</v>
      </c>
      <c r="I189">
        <v>14</v>
      </c>
      <c r="J189">
        <v>567.28</v>
      </c>
    </row>
    <row r="190" spans="1:10" x14ac:dyDescent="0.3">
      <c r="A190">
        <v>189</v>
      </c>
      <c r="B190" s="1">
        <v>45737</v>
      </c>
      <c r="C190" t="s">
        <v>20</v>
      </c>
      <c r="D190" t="s">
        <v>31</v>
      </c>
      <c r="E190" t="s">
        <v>32</v>
      </c>
      <c r="F190" t="s">
        <v>33</v>
      </c>
      <c r="G190" t="s">
        <v>19</v>
      </c>
      <c r="H190">
        <v>13.87</v>
      </c>
      <c r="I190">
        <v>7</v>
      </c>
      <c r="J190">
        <v>97.09</v>
      </c>
    </row>
    <row r="191" spans="1:10" x14ac:dyDescent="0.3">
      <c r="A191">
        <v>190</v>
      </c>
      <c r="B191" s="1">
        <v>45741</v>
      </c>
      <c r="C191" t="s">
        <v>23</v>
      </c>
      <c r="D191" t="s">
        <v>38</v>
      </c>
      <c r="E191" t="s">
        <v>17</v>
      </c>
      <c r="F191" t="s">
        <v>33</v>
      </c>
      <c r="G191" t="s">
        <v>22</v>
      </c>
      <c r="H191">
        <v>25.8</v>
      </c>
      <c r="I191">
        <v>45</v>
      </c>
      <c r="J191">
        <v>1161</v>
      </c>
    </row>
    <row r="192" spans="1:10" x14ac:dyDescent="0.3">
      <c r="A192">
        <v>191</v>
      </c>
      <c r="B192" s="1">
        <v>46004</v>
      </c>
      <c r="C192" t="s">
        <v>10</v>
      </c>
      <c r="D192" t="s">
        <v>38</v>
      </c>
      <c r="E192" t="s">
        <v>12</v>
      </c>
      <c r="F192" t="s">
        <v>13</v>
      </c>
      <c r="G192" t="s">
        <v>22</v>
      </c>
      <c r="H192">
        <v>87.75</v>
      </c>
      <c r="I192">
        <v>29</v>
      </c>
      <c r="J192">
        <v>2544.75</v>
      </c>
    </row>
    <row r="193" spans="1:10" x14ac:dyDescent="0.3">
      <c r="A193">
        <v>192</v>
      </c>
      <c r="B193" s="1">
        <v>45898</v>
      </c>
      <c r="C193" t="s">
        <v>28</v>
      </c>
      <c r="D193" t="s">
        <v>38</v>
      </c>
      <c r="E193" t="s">
        <v>39</v>
      </c>
      <c r="F193" t="s">
        <v>25</v>
      </c>
      <c r="G193" t="s">
        <v>22</v>
      </c>
      <c r="H193">
        <v>108.96</v>
      </c>
      <c r="I193">
        <v>13</v>
      </c>
      <c r="J193">
        <v>1416.48</v>
      </c>
    </row>
    <row r="194" spans="1:10" x14ac:dyDescent="0.3">
      <c r="A194">
        <v>193</v>
      </c>
      <c r="B194" s="1">
        <v>45915</v>
      </c>
      <c r="C194" t="s">
        <v>30</v>
      </c>
      <c r="D194" t="s">
        <v>37</v>
      </c>
      <c r="E194" t="s">
        <v>34</v>
      </c>
      <c r="F194" t="s">
        <v>18</v>
      </c>
      <c r="G194" t="s">
        <v>14</v>
      </c>
      <c r="H194">
        <v>65.66</v>
      </c>
      <c r="I194">
        <v>11</v>
      </c>
      <c r="J194">
        <v>722.26</v>
      </c>
    </row>
    <row r="195" spans="1:10" x14ac:dyDescent="0.3">
      <c r="A195">
        <v>194</v>
      </c>
      <c r="B195" s="1">
        <v>45904</v>
      </c>
      <c r="C195" t="s">
        <v>15</v>
      </c>
      <c r="D195" t="s">
        <v>26</v>
      </c>
      <c r="E195" t="s">
        <v>34</v>
      </c>
      <c r="F195" t="s">
        <v>18</v>
      </c>
      <c r="G195" t="s">
        <v>19</v>
      </c>
      <c r="H195">
        <v>105.52</v>
      </c>
      <c r="I195">
        <v>36</v>
      </c>
      <c r="J195">
        <v>3798.72</v>
      </c>
    </row>
    <row r="196" spans="1:10" x14ac:dyDescent="0.3">
      <c r="A196">
        <v>195</v>
      </c>
      <c r="B196" s="1">
        <v>45797</v>
      </c>
      <c r="C196" t="s">
        <v>23</v>
      </c>
      <c r="D196" t="s">
        <v>16</v>
      </c>
      <c r="E196" t="s">
        <v>29</v>
      </c>
      <c r="F196" t="s">
        <v>13</v>
      </c>
      <c r="G196" t="s">
        <v>22</v>
      </c>
      <c r="H196">
        <v>56.67</v>
      </c>
      <c r="I196">
        <v>33</v>
      </c>
      <c r="J196">
        <v>1870.11</v>
      </c>
    </row>
    <row r="197" spans="1:10" x14ac:dyDescent="0.3">
      <c r="A197">
        <v>196</v>
      </c>
      <c r="B197" s="1">
        <v>45836</v>
      </c>
      <c r="C197" t="s">
        <v>20</v>
      </c>
      <c r="D197" t="s">
        <v>16</v>
      </c>
      <c r="E197" t="s">
        <v>24</v>
      </c>
      <c r="F197" t="s">
        <v>13</v>
      </c>
      <c r="G197" t="s">
        <v>22</v>
      </c>
      <c r="H197">
        <v>112</v>
      </c>
      <c r="I197">
        <v>27</v>
      </c>
      <c r="J197">
        <v>3024</v>
      </c>
    </row>
    <row r="198" spans="1:10" x14ac:dyDescent="0.3">
      <c r="A198">
        <v>197</v>
      </c>
      <c r="B198" s="1">
        <v>45699</v>
      </c>
      <c r="C198" t="s">
        <v>28</v>
      </c>
      <c r="D198" t="s">
        <v>26</v>
      </c>
      <c r="E198" t="s">
        <v>24</v>
      </c>
      <c r="F198" t="s">
        <v>13</v>
      </c>
      <c r="G198" t="s">
        <v>19</v>
      </c>
      <c r="H198">
        <v>48.11</v>
      </c>
      <c r="I198">
        <v>2</v>
      </c>
      <c r="J198">
        <v>96.22</v>
      </c>
    </row>
    <row r="199" spans="1:10" x14ac:dyDescent="0.3">
      <c r="A199">
        <v>198</v>
      </c>
      <c r="B199" s="1">
        <v>45677</v>
      </c>
      <c r="C199" t="s">
        <v>23</v>
      </c>
      <c r="D199" t="s">
        <v>38</v>
      </c>
      <c r="E199" t="s">
        <v>39</v>
      </c>
      <c r="F199" t="s">
        <v>18</v>
      </c>
      <c r="G199" t="s">
        <v>19</v>
      </c>
      <c r="H199">
        <v>37.99</v>
      </c>
      <c r="I199">
        <v>31</v>
      </c>
      <c r="J199">
        <v>1177.69</v>
      </c>
    </row>
    <row r="200" spans="1:10" x14ac:dyDescent="0.3">
      <c r="A200">
        <v>199</v>
      </c>
      <c r="B200" s="1">
        <v>45667</v>
      </c>
      <c r="C200" t="s">
        <v>35</v>
      </c>
      <c r="D200" t="s">
        <v>26</v>
      </c>
      <c r="E200" t="s">
        <v>34</v>
      </c>
      <c r="F200" t="s">
        <v>13</v>
      </c>
      <c r="G200" t="s">
        <v>22</v>
      </c>
      <c r="H200">
        <v>34.43</v>
      </c>
      <c r="I200">
        <v>10</v>
      </c>
      <c r="J200">
        <v>344.3</v>
      </c>
    </row>
    <row r="201" spans="1:10" x14ac:dyDescent="0.3">
      <c r="A201">
        <v>200</v>
      </c>
      <c r="B201" s="1">
        <v>45720</v>
      </c>
      <c r="C201" t="s">
        <v>27</v>
      </c>
      <c r="D201" t="s">
        <v>26</v>
      </c>
      <c r="E201" t="s">
        <v>29</v>
      </c>
      <c r="F201" t="s">
        <v>33</v>
      </c>
      <c r="G201" t="s">
        <v>14</v>
      </c>
      <c r="H201">
        <v>10.49</v>
      </c>
      <c r="I201">
        <v>27</v>
      </c>
      <c r="J201">
        <v>283.23</v>
      </c>
    </row>
    <row r="202" spans="1:10" x14ac:dyDescent="0.3">
      <c r="A202">
        <v>201</v>
      </c>
      <c r="B202" s="1">
        <v>45932</v>
      </c>
      <c r="C202" t="s">
        <v>30</v>
      </c>
      <c r="D202" t="s">
        <v>37</v>
      </c>
      <c r="E202" t="s">
        <v>34</v>
      </c>
      <c r="F202" t="s">
        <v>33</v>
      </c>
      <c r="G202" t="s">
        <v>19</v>
      </c>
      <c r="H202">
        <v>6.89</v>
      </c>
      <c r="I202">
        <v>33</v>
      </c>
      <c r="J202">
        <v>227.37</v>
      </c>
    </row>
    <row r="203" spans="1:10" x14ac:dyDescent="0.3">
      <c r="A203">
        <v>202</v>
      </c>
      <c r="B203" s="1">
        <v>45972</v>
      </c>
      <c r="C203" t="s">
        <v>35</v>
      </c>
      <c r="D203" t="s">
        <v>37</v>
      </c>
      <c r="E203" t="s">
        <v>29</v>
      </c>
      <c r="F203" t="s">
        <v>25</v>
      </c>
      <c r="G203" t="s">
        <v>19</v>
      </c>
      <c r="H203">
        <v>45.57</v>
      </c>
      <c r="I203">
        <v>37</v>
      </c>
      <c r="J203">
        <v>1686.09</v>
      </c>
    </row>
    <row r="204" spans="1:10" x14ac:dyDescent="0.3">
      <c r="A204">
        <v>203</v>
      </c>
      <c r="B204" s="1">
        <v>45927</v>
      </c>
      <c r="C204" t="s">
        <v>20</v>
      </c>
      <c r="D204" t="s">
        <v>16</v>
      </c>
      <c r="E204" t="s">
        <v>39</v>
      </c>
      <c r="F204" t="s">
        <v>18</v>
      </c>
      <c r="G204" t="s">
        <v>14</v>
      </c>
      <c r="H204">
        <v>67.569999999999993</v>
      </c>
      <c r="I204">
        <v>33</v>
      </c>
      <c r="J204">
        <v>2229.81</v>
      </c>
    </row>
    <row r="205" spans="1:10" x14ac:dyDescent="0.3">
      <c r="A205">
        <v>204</v>
      </c>
      <c r="B205" s="1">
        <v>45856</v>
      </c>
      <c r="C205" t="s">
        <v>20</v>
      </c>
      <c r="D205" t="s">
        <v>31</v>
      </c>
      <c r="E205" t="s">
        <v>29</v>
      </c>
      <c r="F205" t="s">
        <v>25</v>
      </c>
      <c r="G205" t="s">
        <v>19</v>
      </c>
      <c r="H205">
        <v>117.82</v>
      </c>
      <c r="I205">
        <v>17</v>
      </c>
      <c r="J205">
        <v>2002.94</v>
      </c>
    </row>
    <row r="206" spans="1:10" x14ac:dyDescent="0.3">
      <c r="A206">
        <v>205</v>
      </c>
      <c r="B206" s="1">
        <v>45994</v>
      </c>
      <c r="C206" t="s">
        <v>28</v>
      </c>
      <c r="D206" t="s">
        <v>37</v>
      </c>
      <c r="E206" t="s">
        <v>17</v>
      </c>
      <c r="F206" t="s">
        <v>25</v>
      </c>
      <c r="G206" t="s">
        <v>14</v>
      </c>
      <c r="H206">
        <v>77.25</v>
      </c>
      <c r="I206">
        <v>50</v>
      </c>
      <c r="J206">
        <v>3862.5</v>
      </c>
    </row>
    <row r="207" spans="1:10" x14ac:dyDescent="0.3">
      <c r="A207">
        <v>206</v>
      </c>
      <c r="B207" s="1">
        <v>45831</v>
      </c>
      <c r="C207" t="s">
        <v>27</v>
      </c>
      <c r="D207" t="s">
        <v>38</v>
      </c>
      <c r="E207" t="s">
        <v>32</v>
      </c>
      <c r="F207" t="s">
        <v>13</v>
      </c>
      <c r="G207" t="s">
        <v>19</v>
      </c>
      <c r="H207">
        <v>98.55</v>
      </c>
      <c r="I207">
        <v>12</v>
      </c>
      <c r="J207">
        <v>1182.5999999999999</v>
      </c>
    </row>
    <row r="208" spans="1:10" x14ac:dyDescent="0.3">
      <c r="A208">
        <v>207</v>
      </c>
      <c r="B208" s="1">
        <v>45892</v>
      </c>
      <c r="C208" t="s">
        <v>20</v>
      </c>
      <c r="D208" t="s">
        <v>11</v>
      </c>
      <c r="E208" t="s">
        <v>17</v>
      </c>
      <c r="F208" t="s">
        <v>25</v>
      </c>
      <c r="G208" t="s">
        <v>22</v>
      </c>
      <c r="H208">
        <v>9.25</v>
      </c>
      <c r="I208">
        <v>13</v>
      </c>
      <c r="J208">
        <v>120.25</v>
      </c>
    </row>
    <row r="209" spans="1:10" x14ac:dyDescent="0.3">
      <c r="A209">
        <v>208</v>
      </c>
      <c r="B209" s="1">
        <v>45921</v>
      </c>
      <c r="C209" t="s">
        <v>27</v>
      </c>
      <c r="D209" t="s">
        <v>36</v>
      </c>
      <c r="E209" t="s">
        <v>17</v>
      </c>
      <c r="F209" t="s">
        <v>13</v>
      </c>
      <c r="G209" t="s">
        <v>22</v>
      </c>
      <c r="H209">
        <v>50.8</v>
      </c>
      <c r="I209">
        <v>35</v>
      </c>
      <c r="J209">
        <v>1778</v>
      </c>
    </row>
    <row r="210" spans="1:10" x14ac:dyDescent="0.3">
      <c r="A210">
        <v>209</v>
      </c>
      <c r="B210" s="1">
        <v>45840</v>
      </c>
      <c r="C210" t="s">
        <v>28</v>
      </c>
      <c r="D210" t="s">
        <v>36</v>
      </c>
      <c r="E210" t="s">
        <v>29</v>
      </c>
      <c r="F210" t="s">
        <v>25</v>
      </c>
      <c r="G210" t="s">
        <v>22</v>
      </c>
      <c r="H210">
        <v>104.15</v>
      </c>
      <c r="I210">
        <v>4</v>
      </c>
      <c r="J210">
        <v>416.6</v>
      </c>
    </row>
    <row r="211" spans="1:10" x14ac:dyDescent="0.3">
      <c r="A211">
        <v>210</v>
      </c>
      <c r="B211" s="1">
        <v>45862</v>
      </c>
      <c r="C211" t="s">
        <v>28</v>
      </c>
      <c r="D211" t="s">
        <v>37</v>
      </c>
      <c r="E211" t="s">
        <v>39</v>
      </c>
      <c r="F211" t="s">
        <v>33</v>
      </c>
      <c r="G211" t="s">
        <v>22</v>
      </c>
      <c r="H211">
        <v>90.48</v>
      </c>
      <c r="I211">
        <v>25</v>
      </c>
      <c r="J211">
        <v>2262</v>
      </c>
    </row>
    <row r="212" spans="1:10" x14ac:dyDescent="0.3">
      <c r="A212">
        <v>211</v>
      </c>
      <c r="B212" s="1">
        <v>45923</v>
      </c>
      <c r="C212" t="s">
        <v>35</v>
      </c>
      <c r="D212" t="s">
        <v>26</v>
      </c>
      <c r="E212" t="s">
        <v>21</v>
      </c>
      <c r="F212" t="s">
        <v>13</v>
      </c>
      <c r="G212" t="s">
        <v>14</v>
      </c>
      <c r="H212">
        <v>35.67</v>
      </c>
      <c r="I212">
        <v>6</v>
      </c>
      <c r="J212">
        <v>214.02</v>
      </c>
    </row>
    <row r="213" spans="1:10" x14ac:dyDescent="0.3">
      <c r="A213">
        <v>212</v>
      </c>
      <c r="B213" s="1">
        <v>45808</v>
      </c>
      <c r="C213" t="s">
        <v>28</v>
      </c>
      <c r="D213" t="s">
        <v>36</v>
      </c>
      <c r="E213" t="s">
        <v>34</v>
      </c>
      <c r="F213" t="s">
        <v>33</v>
      </c>
      <c r="G213" t="s">
        <v>14</v>
      </c>
      <c r="H213">
        <v>41.94</v>
      </c>
      <c r="I213">
        <v>6</v>
      </c>
      <c r="J213">
        <v>251.64</v>
      </c>
    </row>
    <row r="214" spans="1:10" x14ac:dyDescent="0.3">
      <c r="A214">
        <v>213</v>
      </c>
      <c r="B214" s="1">
        <v>45876</v>
      </c>
      <c r="C214" t="s">
        <v>28</v>
      </c>
      <c r="D214" t="s">
        <v>38</v>
      </c>
      <c r="E214" t="s">
        <v>17</v>
      </c>
      <c r="F214" t="s">
        <v>25</v>
      </c>
      <c r="G214" t="s">
        <v>14</v>
      </c>
      <c r="H214">
        <v>24.16</v>
      </c>
      <c r="I214">
        <v>29</v>
      </c>
      <c r="J214">
        <v>700.64</v>
      </c>
    </row>
    <row r="215" spans="1:10" x14ac:dyDescent="0.3">
      <c r="A215">
        <v>214</v>
      </c>
      <c r="B215" s="1">
        <v>45880</v>
      </c>
      <c r="C215" t="s">
        <v>15</v>
      </c>
      <c r="D215" t="s">
        <v>16</v>
      </c>
      <c r="E215" t="s">
        <v>24</v>
      </c>
      <c r="F215" t="s">
        <v>13</v>
      </c>
      <c r="G215" t="s">
        <v>19</v>
      </c>
      <c r="H215">
        <v>36.57</v>
      </c>
      <c r="I215">
        <v>4</v>
      </c>
      <c r="J215">
        <v>146.28</v>
      </c>
    </row>
    <row r="216" spans="1:10" x14ac:dyDescent="0.3">
      <c r="A216">
        <v>215</v>
      </c>
      <c r="B216" s="1">
        <v>45731</v>
      </c>
      <c r="C216" t="s">
        <v>27</v>
      </c>
      <c r="D216" t="s">
        <v>40</v>
      </c>
      <c r="E216" t="s">
        <v>32</v>
      </c>
      <c r="F216" t="s">
        <v>18</v>
      </c>
      <c r="G216" t="s">
        <v>19</v>
      </c>
      <c r="H216">
        <v>102.6</v>
      </c>
      <c r="I216">
        <v>44</v>
      </c>
      <c r="J216">
        <v>4514.3999999999996</v>
      </c>
    </row>
    <row r="217" spans="1:10" x14ac:dyDescent="0.3">
      <c r="A217">
        <v>216</v>
      </c>
      <c r="B217" s="1">
        <v>45988</v>
      </c>
      <c r="C217" t="s">
        <v>20</v>
      </c>
      <c r="D217" t="s">
        <v>37</v>
      </c>
      <c r="E217" t="s">
        <v>39</v>
      </c>
      <c r="F217" t="s">
        <v>25</v>
      </c>
      <c r="G217" t="s">
        <v>22</v>
      </c>
      <c r="H217">
        <v>47.13</v>
      </c>
      <c r="I217">
        <v>25</v>
      </c>
      <c r="J217">
        <v>1178.25</v>
      </c>
    </row>
    <row r="218" spans="1:10" x14ac:dyDescent="0.3">
      <c r="A218">
        <v>217</v>
      </c>
      <c r="B218" s="1">
        <v>45885</v>
      </c>
      <c r="C218" t="s">
        <v>23</v>
      </c>
      <c r="D218" t="s">
        <v>31</v>
      </c>
      <c r="E218" t="s">
        <v>21</v>
      </c>
      <c r="F218" t="s">
        <v>25</v>
      </c>
      <c r="G218" t="s">
        <v>14</v>
      </c>
      <c r="H218">
        <v>92.75</v>
      </c>
      <c r="I218">
        <v>37</v>
      </c>
      <c r="J218">
        <v>3431.75</v>
      </c>
    </row>
    <row r="219" spans="1:10" x14ac:dyDescent="0.3">
      <c r="A219">
        <v>218</v>
      </c>
      <c r="B219" s="1">
        <v>45800</v>
      </c>
      <c r="C219" t="s">
        <v>20</v>
      </c>
      <c r="D219" t="s">
        <v>37</v>
      </c>
      <c r="E219" t="s">
        <v>39</v>
      </c>
      <c r="F219" t="s">
        <v>33</v>
      </c>
      <c r="G219" t="s">
        <v>14</v>
      </c>
      <c r="H219">
        <v>33.71</v>
      </c>
      <c r="I219">
        <v>8</v>
      </c>
      <c r="J219">
        <v>269.68</v>
      </c>
    </row>
    <row r="220" spans="1:10" x14ac:dyDescent="0.3">
      <c r="A220">
        <v>219</v>
      </c>
      <c r="B220" s="1">
        <v>45718</v>
      </c>
      <c r="C220" t="s">
        <v>27</v>
      </c>
      <c r="D220" t="s">
        <v>11</v>
      </c>
      <c r="E220" t="s">
        <v>34</v>
      </c>
      <c r="F220" t="s">
        <v>33</v>
      </c>
      <c r="G220" t="s">
        <v>19</v>
      </c>
      <c r="H220">
        <v>35.1</v>
      </c>
      <c r="I220">
        <v>17</v>
      </c>
      <c r="J220">
        <v>596.70000000000005</v>
      </c>
    </row>
    <row r="221" spans="1:10" x14ac:dyDescent="0.3">
      <c r="A221">
        <v>220</v>
      </c>
      <c r="B221" s="1">
        <v>45720</v>
      </c>
      <c r="C221" t="s">
        <v>27</v>
      </c>
      <c r="D221" t="s">
        <v>37</v>
      </c>
      <c r="E221" t="s">
        <v>39</v>
      </c>
      <c r="F221" t="s">
        <v>18</v>
      </c>
      <c r="G221" t="s">
        <v>14</v>
      </c>
      <c r="H221">
        <v>20.61</v>
      </c>
      <c r="I221">
        <v>5</v>
      </c>
      <c r="J221">
        <v>103.05</v>
      </c>
    </row>
    <row r="222" spans="1:10" x14ac:dyDescent="0.3">
      <c r="A222">
        <v>221</v>
      </c>
      <c r="B222" s="1">
        <v>45821</v>
      </c>
      <c r="C222" t="s">
        <v>15</v>
      </c>
      <c r="D222" t="s">
        <v>36</v>
      </c>
      <c r="E222" t="s">
        <v>34</v>
      </c>
      <c r="F222" t="s">
        <v>13</v>
      </c>
      <c r="G222" t="s">
        <v>14</v>
      </c>
      <c r="H222">
        <v>81.8</v>
      </c>
      <c r="I222">
        <v>46</v>
      </c>
      <c r="J222">
        <v>3762.8</v>
      </c>
    </row>
    <row r="223" spans="1:10" x14ac:dyDescent="0.3">
      <c r="A223">
        <v>222</v>
      </c>
      <c r="B223" s="1">
        <v>46021</v>
      </c>
      <c r="C223" t="s">
        <v>23</v>
      </c>
      <c r="D223" t="s">
        <v>31</v>
      </c>
      <c r="E223" t="s">
        <v>12</v>
      </c>
      <c r="F223" t="s">
        <v>18</v>
      </c>
      <c r="G223" t="s">
        <v>19</v>
      </c>
      <c r="H223">
        <v>111.64</v>
      </c>
      <c r="I223">
        <v>41</v>
      </c>
      <c r="J223">
        <v>4577.24</v>
      </c>
    </row>
    <row r="224" spans="1:10" x14ac:dyDescent="0.3">
      <c r="A224">
        <v>223</v>
      </c>
      <c r="B224" s="1">
        <v>45729</v>
      </c>
      <c r="C224" t="s">
        <v>20</v>
      </c>
      <c r="D224" t="s">
        <v>31</v>
      </c>
      <c r="E224" t="s">
        <v>24</v>
      </c>
      <c r="F224" t="s">
        <v>33</v>
      </c>
      <c r="G224" t="s">
        <v>14</v>
      </c>
      <c r="H224">
        <v>32.22</v>
      </c>
      <c r="I224">
        <v>32</v>
      </c>
      <c r="J224">
        <v>1031.04</v>
      </c>
    </row>
    <row r="225" spans="1:10" x14ac:dyDescent="0.3">
      <c r="A225">
        <v>224</v>
      </c>
      <c r="B225" s="1">
        <v>45724</v>
      </c>
      <c r="C225" t="s">
        <v>15</v>
      </c>
      <c r="D225" t="s">
        <v>36</v>
      </c>
      <c r="E225" t="s">
        <v>21</v>
      </c>
      <c r="F225" t="s">
        <v>33</v>
      </c>
      <c r="G225" t="s">
        <v>14</v>
      </c>
      <c r="H225">
        <v>75.37</v>
      </c>
      <c r="I225">
        <v>6</v>
      </c>
      <c r="J225">
        <v>452.22</v>
      </c>
    </row>
    <row r="226" spans="1:10" x14ac:dyDescent="0.3">
      <c r="A226">
        <v>225</v>
      </c>
      <c r="B226" s="1">
        <v>45868</v>
      </c>
      <c r="C226" t="s">
        <v>15</v>
      </c>
      <c r="D226" t="s">
        <v>37</v>
      </c>
      <c r="E226" t="s">
        <v>24</v>
      </c>
      <c r="F226" t="s">
        <v>18</v>
      </c>
      <c r="G226" t="s">
        <v>22</v>
      </c>
      <c r="H226">
        <v>93.45</v>
      </c>
      <c r="I226">
        <v>37</v>
      </c>
      <c r="J226">
        <v>3457.65</v>
      </c>
    </row>
    <row r="227" spans="1:10" x14ac:dyDescent="0.3">
      <c r="A227">
        <v>226</v>
      </c>
      <c r="B227" s="1">
        <v>45896</v>
      </c>
      <c r="C227" t="s">
        <v>23</v>
      </c>
      <c r="D227" t="s">
        <v>37</v>
      </c>
      <c r="E227" t="s">
        <v>32</v>
      </c>
      <c r="F227" t="s">
        <v>33</v>
      </c>
      <c r="G227" t="s">
        <v>14</v>
      </c>
      <c r="H227">
        <v>83.21</v>
      </c>
      <c r="I227">
        <v>23</v>
      </c>
      <c r="J227">
        <v>1913.83</v>
      </c>
    </row>
    <row r="228" spans="1:10" x14ac:dyDescent="0.3">
      <c r="A228">
        <v>227</v>
      </c>
      <c r="B228" s="1">
        <v>45686</v>
      </c>
      <c r="C228" t="s">
        <v>23</v>
      </c>
      <c r="D228" t="s">
        <v>36</v>
      </c>
      <c r="E228" t="s">
        <v>32</v>
      </c>
      <c r="F228" t="s">
        <v>13</v>
      </c>
      <c r="G228" t="s">
        <v>22</v>
      </c>
      <c r="H228">
        <v>100.61</v>
      </c>
      <c r="I228">
        <v>34</v>
      </c>
      <c r="J228">
        <v>3420.74</v>
      </c>
    </row>
    <row r="229" spans="1:10" x14ac:dyDescent="0.3">
      <c r="A229">
        <v>228</v>
      </c>
      <c r="B229" s="1">
        <v>46021</v>
      </c>
      <c r="C229" t="s">
        <v>10</v>
      </c>
      <c r="D229" t="s">
        <v>26</v>
      </c>
      <c r="E229" t="s">
        <v>34</v>
      </c>
      <c r="F229" t="s">
        <v>13</v>
      </c>
      <c r="G229" t="s">
        <v>14</v>
      </c>
      <c r="H229">
        <v>30.93</v>
      </c>
      <c r="I229">
        <v>34</v>
      </c>
      <c r="J229">
        <v>1051.6199999999999</v>
      </c>
    </row>
    <row r="230" spans="1:10" x14ac:dyDescent="0.3">
      <c r="A230">
        <v>229</v>
      </c>
      <c r="B230" s="1">
        <v>45940</v>
      </c>
      <c r="C230" t="s">
        <v>10</v>
      </c>
      <c r="D230" t="s">
        <v>26</v>
      </c>
      <c r="E230" t="s">
        <v>32</v>
      </c>
      <c r="F230" t="s">
        <v>13</v>
      </c>
      <c r="G230" t="s">
        <v>19</v>
      </c>
      <c r="H230">
        <v>36.56</v>
      </c>
      <c r="I230">
        <v>41</v>
      </c>
      <c r="J230">
        <v>1498.96</v>
      </c>
    </row>
    <row r="231" spans="1:10" x14ac:dyDescent="0.3">
      <c r="A231">
        <v>230</v>
      </c>
      <c r="B231" s="1">
        <v>45995</v>
      </c>
      <c r="C231" t="s">
        <v>28</v>
      </c>
      <c r="D231" t="s">
        <v>40</v>
      </c>
      <c r="E231" t="s">
        <v>17</v>
      </c>
      <c r="F231" t="s">
        <v>18</v>
      </c>
      <c r="G231" t="s">
        <v>19</v>
      </c>
      <c r="H231">
        <v>76.819999999999993</v>
      </c>
      <c r="I231">
        <v>39</v>
      </c>
      <c r="J231">
        <v>2995.98</v>
      </c>
    </row>
    <row r="232" spans="1:10" x14ac:dyDescent="0.3">
      <c r="A232">
        <v>231</v>
      </c>
      <c r="B232" s="1">
        <v>45986</v>
      </c>
      <c r="C232" t="s">
        <v>30</v>
      </c>
      <c r="D232" t="s">
        <v>16</v>
      </c>
      <c r="E232" t="s">
        <v>17</v>
      </c>
      <c r="F232" t="s">
        <v>33</v>
      </c>
      <c r="G232" t="s">
        <v>14</v>
      </c>
      <c r="H232">
        <v>93.67</v>
      </c>
      <c r="I232">
        <v>17</v>
      </c>
      <c r="J232">
        <v>1592.39</v>
      </c>
    </row>
    <row r="233" spans="1:10" x14ac:dyDescent="0.3">
      <c r="A233">
        <v>232</v>
      </c>
      <c r="B233" s="1">
        <v>45937</v>
      </c>
      <c r="C233" t="s">
        <v>27</v>
      </c>
      <c r="D233" t="s">
        <v>11</v>
      </c>
      <c r="E233" t="s">
        <v>21</v>
      </c>
      <c r="F233" t="s">
        <v>25</v>
      </c>
      <c r="G233" t="s">
        <v>22</v>
      </c>
      <c r="H233">
        <v>38.31</v>
      </c>
      <c r="I233">
        <v>20</v>
      </c>
      <c r="J233">
        <v>766.2</v>
      </c>
    </row>
    <row r="234" spans="1:10" x14ac:dyDescent="0.3">
      <c r="A234">
        <v>233</v>
      </c>
      <c r="B234" s="1">
        <v>45695</v>
      </c>
      <c r="C234" t="s">
        <v>27</v>
      </c>
      <c r="D234" t="s">
        <v>16</v>
      </c>
      <c r="E234" t="s">
        <v>39</v>
      </c>
      <c r="F234" t="s">
        <v>33</v>
      </c>
      <c r="G234" t="s">
        <v>19</v>
      </c>
      <c r="H234">
        <v>84.19</v>
      </c>
      <c r="I234">
        <v>11</v>
      </c>
      <c r="J234">
        <v>926.09</v>
      </c>
    </row>
    <row r="235" spans="1:10" x14ac:dyDescent="0.3">
      <c r="A235">
        <v>234</v>
      </c>
      <c r="B235" s="1">
        <v>45832</v>
      </c>
      <c r="C235" t="s">
        <v>28</v>
      </c>
      <c r="D235" t="s">
        <v>31</v>
      </c>
      <c r="E235" t="s">
        <v>21</v>
      </c>
      <c r="F235" t="s">
        <v>13</v>
      </c>
      <c r="G235" t="s">
        <v>22</v>
      </c>
      <c r="H235">
        <v>74.77</v>
      </c>
      <c r="I235">
        <v>21</v>
      </c>
      <c r="J235">
        <v>1570.17</v>
      </c>
    </row>
    <row r="236" spans="1:10" x14ac:dyDescent="0.3">
      <c r="A236">
        <v>235</v>
      </c>
      <c r="B236" s="1">
        <v>45921</v>
      </c>
      <c r="C236" t="s">
        <v>30</v>
      </c>
      <c r="D236" t="s">
        <v>38</v>
      </c>
      <c r="E236" t="s">
        <v>29</v>
      </c>
      <c r="F236" t="s">
        <v>25</v>
      </c>
      <c r="G236" t="s">
        <v>22</v>
      </c>
      <c r="H236">
        <v>69.59</v>
      </c>
      <c r="I236">
        <v>21</v>
      </c>
      <c r="J236">
        <v>1461.39</v>
      </c>
    </row>
    <row r="237" spans="1:10" x14ac:dyDescent="0.3">
      <c r="A237">
        <v>236</v>
      </c>
      <c r="B237" s="1">
        <v>45784</v>
      </c>
      <c r="C237" t="s">
        <v>10</v>
      </c>
      <c r="D237" t="s">
        <v>16</v>
      </c>
      <c r="E237" t="s">
        <v>21</v>
      </c>
      <c r="F237" t="s">
        <v>13</v>
      </c>
      <c r="G237" t="s">
        <v>19</v>
      </c>
      <c r="H237">
        <v>21.2</v>
      </c>
      <c r="I237">
        <v>4</v>
      </c>
      <c r="J237">
        <v>84.8</v>
      </c>
    </row>
    <row r="238" spans="1:10" x14ac:dyDescent="0.3">
      <c r="A238">
        <v>237</v>
      </c>
      <c r="B238" s="1">
        <v>45825</v>
      </c>
      <c r="C238" t="s">
        <v>28</v>
      </c>
      <c r="D238" t="s">
        <v>11</v>
      </c>
      <c r="E238" t="s">
        <v>32</v>
      </c>
      <c r="F238" t="s">
        <v>33</v>
      </c>
      <c r="G238" t="s">
        <v>14</v>
      </c>
      <c r="H238">
        <v>112.38</v>
      </c>
      <c r="I238">
        <v>47</v>
      </c>
      <c r="J238">
        <v>5281.86</v>
      </c>
    </row>
    <row r="239" spans="1:10" x14ac:dyDescent="0.3">
      <c r="A239">
        <v>238</v>
      </c>
      <c r="B239" s="1">
        <v>45897</v>
      </c>
      <c r="C239" t="s">
        <v>27</v>
      </c>
      <c r="D239" t="s">
        <v>40</v>
      </c>
      <c r="E239" t="s">
        <v>29</v>
      </c>
      <c r="F239" t="s">
        <v>33</v>
      </c>
      <c r="G239" t="s">
        <v>14</v>
      </c>
      <c r="H239">
        <v>62.36</v>
      </c>
      <c r="I239">
        <v>20</v>
      </c>
      <c r="J239">
        <v>1247.2</v>
      </c>
    </row>
    <row r="240" spans="1:10" x14ac:dyDescent="0.3">
      <c r="A240">
        <v>239</v>
      </c>
      <c r="B240" s="1">
        <v>45892</v>
      </c>
      <c r="C240" t="s">
        <v>28</v>
      </c>
      <c r="D240" t="s">
        <v>40</v>
      </c>
      <c r="E240" t="s">
        <v>17</v>
      </c>
      <c r="F240" t="s">
        <v>25</v>
      </c>
      <c r="G240" t="s">
        <v>22</v>
      </c>
      <c r="H240">
        <v>116.17</v>
      </c>
      <c r="I240">
        <v>14</v>
      </c>
      <c r="J240">
        <v>1626.38</v>
      </c>
    </row>
    <row r="241" spans="1:10" x14ac:dyDescent="0.3">
      <c r="A241">
        <v>240</v>
      </c>
      <c r="B241" s="1">
        <v>45963</v>
      </c>
      <c r="C241" t="s">
        <v>27</v>
      </c>
      <c r="D241" t="s">
        <v>36</v>
      </c>
      <c r="E241" t="s">
        <v>17</v>
      </c>
      <c r="F241" t="s">
        <v>18</v>
      </c>
      <c r="G241" t="s">
        <v>22</v>
      </c>
      <c r="H241">
        <v>106.47</v>
      </c>
      <c r="I241">
        <v>42</v>
      </c>
      <c r="J241">
        <v>4471.74</v>
      </c>
    </row>
    <row r="242" spans="1:10" x14ac:dyDescent="0.3">
      <c r="A242">
        <v>241</v>
      </c>
      <c r="B242" s="1">
        <v>45726</v>
      </c>
      <c r="C242" t="s">
        <v>28</v>
      </c>
      <c r="D242" t="s">
        <v>16</v>
      </c>
      <c r="E242" t="s">
        <v>24</v>
      </c>
      <c r="F242" t="s">
        <v>18</v>
      </c>
      <c r="G242" t="s">
        <v>22</v>
      </c>
      <c r="H242">
        <v>106.48</v>
      </c>
      <c r="I242">
        <v>47</v>
      </c>
      <c r="J242">
        <v>5004.5600000000004</v>
      </c>
    </row>
    <row r="243" spans="1:10" x14ac:dyDescent="0.3">
      <c r="A243">
        <v>242</v>
      </c>
      <c r="B243" s="1">
        <v>45684</v>
      </c>
      <c r="C243" t="s">
        <v>28</v>
      </c>
      <c r="D243" t="s">
        <v>36</v>
      </c>
      <c r="E243" t="s">
        <v>29</v>
      </c>
      <c r="F243" t="s">
        <v>33</v>
      </c>
      <c r="G243" t="s">
        <v>14</v>
      </c>
      <c r="H243">
        <v>70.58</v>
      </c>
      <c r="I243">
        <v>13</v>
      </c>
      <c r="J243">
        <v>917.54</v>
      </c>
    </row>
    <row r="244" spans="1:10" x14ac:dyDescent="0.3">
      <c r="A244">
        <v>243</v>
      </c>
      <c r="B244" s="1">
        <v>45888</v>
      </c>
      <c r="C244" t="s">
        <v>15</v>
      </c>
      <c r="D244" t="s">
        <v>37</v>
      </c>
      <c r="E244" t="s">
        <v>29</v>
      </c>
      <c r="F244" t="s">
        <v>33</v>
      </c>
      <c r="G244" t="s">
        <v>22</v>
      </c>
      <c r="H244">
        <v>92.91</v>
      </c>
      <c r="I244">
        <v>18</v>
      </c>
      <c r="J244">
        <v>1672.38</v>
      </c>
    </row>
    <row r="245" spans="1:10" x14ac:dyDescent="0.3">
      <c r="A245">
        <v>244</v>
      </c>
      <c r="B245" s="1">
        <v>45831</v>
      </c>
      <c r="C245" t="s">
        <v>23</v>
      </c>
      <c r="D245" t="s">
        <v>11</v>
      </c>
      <c r="E245" t="s">
        <v>21</v>
      </c>
      <c r="F245" t="s">
        <v>18</v>
      </c>
      <c r="G245" t="s">
        <v>19</v>
      </c>
      <c r="H245">
        <v>69.150000000000006</v>
      </c>
      <c r="I245">
        <v>24</v>
      </c>
      <c r="J245">
        <v>1659.6</v>
      </c>
    </row>
    <row r="246" spans="1:10" x14ac:dyDescent="0.3">
      <c r="A246">
        <v>245</v>
      </c>
      <c r="B246" s="1">
        <v>45677</v>
      </c>
      <c r="C246" t="s">
        <v>27</v>
      </c>
      <c r="D246" t="s">
        <v>38</v>
      </c>
      <c r="E246" t="s">
        <v>32</v>
      </c>
      <c r="F246" t="s">
        <v>13</v>
      </c>
      <c r="G246" t="s">
        <v>22</v>
      </c>
      <c r="H246">
        <v>20.76</v>
      </c>
      <c r="I246">
        <v>22</v>
      </c>
      <c r="J246">
        <v>456.72</v>
      </c>
    </row>
    <row r="247" spans="1:10" x14ac:dyDescent="0.3">
      <c r="A247">
        <v>246</v>
      </c>
      <c r="B247" s="1">
        <v>45971</v>
      </c>
      <c r="C247" t="s">
        <v>10</v>
      </c>
      <c r="D247" t="s">
        <v>31</v>
      </c>
      <c r="E247" t="s">
        <v>39</v>
      </c>
      <c r="F247" t="s">
        <v>25</v>
      </c>
      <c r="G247" t="s">
        <v>22</v>
      </c>
      <c r="H247">
        <v>41.63</v>
      </c>
      <c r="I247">
        <v>26</v>
      </c>
      <c r="J247">
        <v>1082.3800000000001</v>
      </c>
    </row>
    <row r="248" spans="1:10" x14ac:dyDescent="0.3">
      <c r="A248">
        <v>247</v>
      </c>
      <c r="B248" s="1">
        <v>45666</v>
      </c>
      <c r="C248" t="s">
        <v>15</v>
      </c>
      <c r="D248" t="s">
        <v>16</v>
      </c>
      <c r="E248" t="s">
        <v>34</v>
      </c>
      <c r="F248" t="s">
        <v>18</v>
      </c>
      <c r="G248" t="s">
        <v>14</v>
      </c>
      <c r="H248">
        <v>47.36</v>
      </c>
      <c r="I248">
        <v>44</v>
      </c>
      <c r="J248">
        <v>2083.84</v>
      </c>
    </row>
    <row r="249" spans="1:10" x14ac:dyDescent="0.3">
      <c r="A249">
        <v>248</v>
      </c>
      <c r="B249" s="1">
        <v>45900</v>
      </c>
      <c r="C249" t="s">
        <v>30</v>
      </c>
      <c r="D249" t="s">
        <v>40</v>
      </c>
      <c r="E249" t="s">
        <v>39</v>
      </c>
      <c r="F249" t="s">
        <v>13</v>
      </c>
      <c r="G249" t="s">
        <v>14</v>
      </c>
      <c r="H249">
        <v>35.54</v>
      </c>
      <c r="I249">
        <v>42</v>
      </c>
      <c r="J249">
        <v>1492.68</v>
      </c>
    </row>
    <row r="250" spans="1:10" x14ac:dyDescent="0.3">
      <c r="A250">
        <v>249</v>
      </c>
      <c r="B250" s="1">
        <v>45980</v>
      </c>
      <c r="C250" t="s">
        <v>35</v>
      </c>
      <c r="D250" t="s">
        <v>37</v>
      </c>
      <c r="E250" t="s">
        <v>12</v>
      </c>
      <c r="F250" t="s">
        <v>18</v>
      </c>
      <c r="G250" t="s">
        <v>14</v>
      </c>
      <c r="H250">
        <v>87.94</v>
      </c>
      <c r="I250">
        <v>50</v>
      </c>
      <c r="J250">
        <v>4397</v>
      </c>
    </row>
    <row r="251" spans="1:10" x14ac:dyDescent="0.3">
      <c r="A251">
        <v>250</v>
      </c>
      <c r="B251" s="1">
        <v>46016</v>
      </c>
      <c r="C251" t="s">
        <v>27</v>
      </c>
      <c r="D251" t="s">
        <v>31</v>
      </c>
      <c r="E251" t="s">
        <v>21</v>
      </c>
      <c r="F251" t="s">
        <v>13</v>
      </c>
      <c r="G251" t="s">
        <v>22</v>
      </c>
      <c r="H251">
        <v>17.64</v>
      </c>
      <c r="I251">
        <v>2</v>
      </c>
      <c r="J251">
        <v>35.28</v>
      </c>
    </row>
    <row r="252" spans="1:10" x14ac:dyDescent="0.3">
      <c r="A252">
        <v>251</v>
      </c>
      <c r="B252" s="1">
        <v>46011</v>
      </c>
      <c r="C252" t="s">
        <v>27</v>
      </c>
      <c r="D252" t="s">
        <v>40</v>
      </c>
      <c r="E252" t="s">
        <v>32</v>
      </c>
      <c r="F252" t="s">
        <v>13</v>
      </c>
      <c r="G252" t="s">
        <v>14</v>
      </c>
      <c r="H252">
        <v>28.45</v>
      </c>
      <c r="I252">
        <v>33</v>
      </c>
      <c r="J252">
        <v>938.85</v>
      </c>
    </row>
    <row r="253" spans="1:10" x14ac:dyDescent="0.3">
      <c r="A253">
        <v>252</v>
      </c>
      <c r="B253" s="1">
        <v>45824</v>
      </c>
      <c r="C253" t="s">
        <v>35</v>
      </c>
      <c r="D253" t="s">
        <v>31</v>
      </c>
      <c r="E253" t="s">
        <v>32</v>
      </c>
      <c r="F253" t="s">
        <v>33</v>
      </c>
      <c r="G253" t="s">
        <v>14</v>
      </c>
      <c r="H253">
        <v>119.78</v>
      </c>
      <c r="I253">
        <v>31</v>
      </c>
      <c r="J253">
        <v>3713.18</v>
      </c>
    </row>
    <row r="254" spans="1:10" x14ac:dyDescent="0.3">
      <c r="A254">
        <v>253</v>
      </c>
      <c r="B254" s="1">
        <v>45833</v>
      </c>
      <c r="C254" t="s">
        <v>10</v>
      </c>
      <c r="D254" t="s">
        <v>38</v>
      </c>
      <c r="E254" t="s">
        <v>12</v>
      </c>
      <c r="F254" t="s">
        <v>13</v>
      </c>
      <c r="G254" t="s">
        <v>22</v>
      </c>
      <c r="H254">
        <v>67.819999999999993</v>
      </c>
      <c r="I254">
        <v>44</v>
      </c>
      <c r="J254">
        <v>2984.08</v>
      </c>
    </row>
    <row r="255" spans="1:10" x14ac:dyDescent="0.3">
      <c r="A255">
        <v>254</v>
      </c>
      <c r="B255" s="1">
        <v>45943</v>
      </c>
      <c r="C255" t="s">
        <v>10</v>
      </c>
      <c r="D255" t="s">
        <v>11</v>
      </c>
      <c r="E255" t="s">
        <v>39</v>
      </c>
      <c r="F255" t="s">
        <v>25</v>
      </c>
      <c r="G255" t="s">
        <v>22</v>
      </c>
      <c r="H255">
        <v>39.33</v>
      </c>
      <c r="I255">
        <v>20</v>
      </c>
      <c r="J255">
        <v>786.6</v>
      </c>
    </row>
    <row r="256" spans="1:10" x14ac:dyDescent="0.3">
      <c r="A256">
        <v>255</v>
      </c>
      <c r="B256" s="1">
        <v>45836</v>
      </c>
      <c r="C256" t="s">
        <v>10</v>
      </c>
      <c r="D256" t="s">
        <v>36</v>
      </c>
      <c r="E256" t="s">
        <v>29</v>
      </c>
      <c r="F256" t="s">
        <v>33</v>
      </c>
      <c r="G256" t="s">
        <v>22</v>
      </c>
      <c r="H256">
        <v>69.459999999999994</v>
      </c>
      <c r="I256">
        <v>47</v>
      </c>
      <c r="J256">
        <v>3264.62</v>
      </c>
    </row>
    <row r="257" spans="1:10" x14ac:dyDescent="0.3">
      <c r="A257">
        <v>256</v>
      </c>
      <c r="B257" s="1">
        <v>45834</v>
      </c>
      <c r="C257" t="s">
        <v>10</v>
      </c>
      <c r="D257" t="s">
        <v>40</v>
      </c>
      <c r="E257" t="s">
        <v>34</v>
      </c>
      <c r="F257" t="s">
        <v>18</v>
      </c>
      <c r="G257" t="s">
        <v>22</v>
      </c>
      <c r="H257">
        <v>114.78</v>
      </c>
      <c r="I257">
        <v>10</v>
      </c>
      <c r="J257">
        <v>1147.8</v>
      </c>
    </row>
    <row r="258" spans="1:10" x14ac:dyDescent="0.3">
      <c r="A258">
        <v>257</v>
      </c>
      <c r="B258" s="1">
        <v>45884</v>
      </c>
      <c r="C258" t="s">
        <v>27</v>
      </c>
      <c r="D258" t="s">
        <v>11</v>
      </c>
      <c r="E258" t="s">
        <v>12</v>
      </c>
      <c r="F258" t="s">
        <v>25</v>
      </c>
      <c r="G258" t="s">
        <v>14</v>
      </c>
      <c r="H258">
        <v>80.44</v>
      </c>
      <c r="I258">
        <v>48</v>
      </c>
      <c r="J258">
        <v>3861.12</v>
      </c>
    </row>
    <row r="259" spans="1:10" x14ac:dyDescent="0.3">
      <c r="A259">
        <v>258</v>
      </c>
      <c r="B259" s="1">
        <v>46014</v>
      </c>
      <c r="C259" t="s">
        <v>30</v>
      </c>
      <c r="D259" t="s">
        <v>11</v>
      </c>
      <c r="E259" t="s">
        <v>17</v>
      </c>
      <c r="F259" t="s">
        <v>13</v>
      </c>
      <c r="G259" t="s">
        <v>14</v>
      </c>
      <c r="H259">
        <v>36.24</v>
      </c>
      <c r="I259">
        <v>7</v>
      </c>
      <c r="J259">
        <v>253.68</v>
      </c>
    </row>
    <row r="260" spans="1:10" x14ac:dyDescent="0.3">
      <c r="A260">
        <v>259</v>
      </c>
      <c r="B260" s="1">
        <v>45777</v>
      </c>
      <c r="C260" t="s">
        <v>28</v>
      </c>
      <c r="D260" t="s">
        <v>38</v>
      </c>
      <c r="E260" t="s">
        <v>29</v>
      </c>
      <c r="F260" t="s">
        <v>13</v>
      </c>
      <c r="G260" t="s">
        <v>19</v>
      </c>
      <c r="H260">
        <v>11.04</v>
      </c>
      <c r="I260">
        <v>27</v>
      </c>
      <c r="J260">
        <v>298.08</v>
      </c>
    </row>
    <row r="261" spans="1:10" x14ac:dyDescent="0.3">
      <c r="A261">
        <v>260</v>
      </c>
      <c r="B261" s="1">
        <v>45939</v>
      </c>
      <c r="C261" t="s">
        <v>35</v>
      </c>
      <c r="D261" t="s">
        <v>38</v>
      </c>
      <c r="E261" t="s">
        <v>39</v>
      </c>
      <c r="F261" t="s">
        <v>13</v>
      </c>
      <c r="G261" t="s">
        <v>22</v>
      </c>
      <c r="H261">
        <v>117.46</v>
      </c>
      <c r="I261">
        <v>11</v>
      </c>
      <c r="J261">
        <v>1292.06</v>
      </c>
    </row>
    <row r="262" spans="1:10" x14ac:dyDescent="0.3">
      <c r="A262">
        <v>261</v>
      </c>
      <c r="B262" s="1">
        <v>45822</v>
      </c>
      <c r="C262" t="s">
        <v>15</v>
      </c>
      <c r="D262" t="s">
        <v>11</v>
      </c>
      <c r="E262" t="s">
        <v>17</v>
      </c>
      <c r="F262" t="s">
        <v>13</v>
      </c>
      <c r="G262" t="s">
        <v>22</v>
      </c>
      <c r="H262">
        <v>37.82</v>
      </c>
      <c r="I262">
        <v>4</v>
      </c>
      <c r="J262">
        <v>151.28</v>
      </c>
    </row>
    <row r="263" spans="1:10" x14ac:dyDescent="0.3">
      <c r="A263">
        <v>262</v>
      </c>
      <c r="B263" s="1">
        <v>45748</v>
      </c>
      <c r="C263" t="s">
        <v>35</v>
      </c>
      <c r="D263" t="s">
        <v>38</v>
      </c>
      <c r="E263" t="s">
        <v>32</v>
      </c>
      <c r="F263" t="s">
        <v>25</v>
      </c>
      <c r="G263" t="s">
        <v>19</v>
      </c>
      <c r="H263">
        <v>112.4</v>
      </c>
      <c r="I263">
        <v>3</v>
      </c>
      <c r="J263">
        <v>337.2</v>
      </c>
    </row>
    <row r="264" spans="1:10" x14ac:dyDescent="0.3">
      <c r="A264">
        <v>263</v>
      </c>
      <c r="B264" s="1">
        <v>45662</v>
      </c>
      <c r="C264" t="s">
        <v>15</v>
      </c>
      <c r="D264" t="s">
        <v>31</v>
      </c>
      <c r="E264" t="s">
        <v>34</v>
      </c>
      <c r="F264" t="s">
        <v>33</v>
      </c>
      <c r="G264" t="s">
        <v>14</v>
      </c>
      <c r="H264">
        <v>39.32</v>
      </c>
      <c r="I264">
        <v>39</v>
      </c>
      <c r="J264">
        <v>1533.48</v>
      </c>
    </row>
    <row r="265" spans="1:10" x14ac:dyDescent="0.3">
      <c r="A265">
        <v>264</v>
      </c>
      <c r="B265" s="1">
        <v>45936</v>
      </c>
      <c r="C265" t="s">
        <v>27</v>
      </c>
      <c r="D265" t="s">
        <v>36</v>
      </c>
      <c r="E265" t="s">
        <v>12</v>
      </c>
      <c r="F265" t="s">
        <v>18</v>
      </c>
      <c r="G265" t="s">
        <v>22</v>
      </c>
      <c r="H265">
        <v>65.3</v>
      </c>
      <c r="I265">
        <v>9</v>
      </c>
      <c r="J265">
        <v>587.70000000000005</v>
      </c>
    </row>
    <row r="266" spans="1:10" x14ac:dyDescent="0.3">
      <c r="A266">
        <v>265</v>
      </c>
      <c r="B266" s="1">
        <v>45741</v>
      </c>
      <c r="C266" t="s">
        <v>10</v>
      </c>
      <c r="D266" t="s">
        <v>37</v>
      </c>
      <c r="E266" t="s">
        <v>17</v>
      </c>
      <c r="F266" t="s">
        <v>25</v>
      </c>
      <c r="G266" t="s">
        <v>22</v>
      </c>
      <c r="H266">
        <v>89.08</v>
      </c>
      <c r="I266">
        <v>42</v>
      </c>
      <c r="J266">
        <v>3741.36</v>
      </c>
    </row>
    <row r="267" spans="1:10" x14ac:dyDescent="0.3">
      <c r="A267">
        <v>266</v>
      </c>
      <c r="B267" s="1">
        <v>45948</v>
      </c>
      <c r="C267" t="s">
        <v>23</v>
      </c>
      <c r="D267" t="s">
        <v>16</v>
      </c>
      <c r="E267" t="s">
        <v>21</v>
      </c>
      <c r="F267" t="s">
        <v>25</v>
      </c>
      <c r="G267" t="s">
        <v>19</v>
      </c>
      <c r="H267">
        <v>82.56</v>
      </c>
      <c r="I267">
        <v>13</v>
      </c>
      <c r="J267">
        <v>1073.28</v>
      </c>
    </row>
    <row r="268" spans="1:10" x14ac:dyDescent="0.3">
      <c r="A268">
        <v>267</v>
      </c>
      <c r="B268" s="1">
        <v>45863</v>
      </c>
      <c r="C268" t="s">
        <v>23</v>
      </c>
      <c r="D268" t="s">
        <v>38</v>
      </c>
      <c r="E268" t="s">
        <v>24</v>
      </c>
      <c r="F268" t="s">
        <v>13</v>
      </c>
      <c r="G268" t="s">
        <v>19</v>
      </c>
      <c r="H268">
        <v>81.96</v>
      </c>
      <c r="I268">
        <v>12</v>
      </c>
      <c r="J268">
        <v>983.52</v>
      </c>
    </row>
    <row r="269" spans="1:10" x14ac:dyDescent="0.3">
      <c r="A269">
        <v>268</v>
      </c>
      <c r="B269" s="1">
        <v>45791</v>
      </c>
      <c r="C269" t="s">
        <v>10</v>
      </c>
      <c r="D269" t="s">
        <v>31</v>
      </c>
      <c r="E269" t="s">
        <v>34</v>
      </c>
      <c r="F269" t="s">
        <v>18</v>
      </c>
      <c r="G269" t="s">
        <v>22</v>
      </c>
      <c r="H269">
        <v>49.11</v>
      </c>
      <c r="I269">
        <v>29</v>
      </c>
      <c r="J269">
        <v>1424.19</v>
      </c>
    </row>
    <row r="270" spans="1:10" x14ac:dyDescent="0.3">
      <c r="A270">
        <v>269</v>
      </c>
      <c r="B270" s="1">
        <v>45992</v>
      </c>
      <c r="C270" t="s">
        <v>20</v>
      </c>
      <c r="D270" t="s">
        <v>26</v>
      </c>
      <c r="E270" t="s">
        <v>39</v>
      </c>
      <c r="F270" t="s">
        <v>25</v>
      </c>
      <c r="G270" t="s">
        <v>19</v>
      </c>
      <c r="H270">
        <v>46.35</v>
      </c>
      <c r="I270">
        <v>16</v>
      </c>
      <c r="J270">
        <v>741.6</v>
      </c>
    </row>
    <row r="271" spans="1:10" x14ac:dyDescent="0.3">
      <c r="A271">
        <v>270</v>
      </c>
      <c r="B271" s="1">
        <v>45865</v>
      </c>
      <c r="C271" t="s">
        <v>10</v>
      </c>
      <c r="D271" t="s">
        <v>26</v>
      </c>
      <c r="E271" t="s">
        <v>34</v>
      </c>
      <c r="F271" t="s">
        <v>25</v>
      </c>
      <c r="G271" t="s">
        <v>14</v>
      </c>
      <c r="H271">
        <v>83.9</v>
      </c>
      <c r="I271">
        <v>46</v>
      </c>
      <c r="J271">
        <v>3859.4</v>
      </c>
    </row>
    <row r="272" spans="1:10" x14ac:dyDescent="0.3">
      <c r="A272">
        <v>271</v>
      </c>
      <c r="B272" s="1">
        <v>45771</v>
      </c>
      <c r="C272" t="s">
        <v>27</v>
      </c>
      <c r="D272" t="s">
        <v>37</v>
      </c>
      <c r="E272" t="s">
        <v>39</v>
      </c>
      <c r="F272" t="s">
        <v>25</v>
      </c>
      <c r="G272" t="s">
        <v>22</v>
      </c>
      <c r="H272">
        <v>30.2</v>
      </c>
      <c r="I272">
        <v>9</v>
      </c>
      <c r="J272">
        <v>271.8</v>
      </c>
    </row>
    <row r="273" spans="1:10" x14ac:dyDescent="0.3">
      <c r="A273">
        <v>272</v>
      </c>
      <c r="B273" s="1">
        <v>46017</v>
      </c>
      <c r="C273" t="s">
        <v>30</v>
      </c>
      <c r="D273" t="s">
        <v>11</v>
      </c>
      <c r="E273" t="s">
        <v>29</v>
      </c>
      <c r="F273" t="s">
        <v>33</v>
      </c>
      <c r="G273" t="s">
        <v>14</v>
      </c>
      <c r="H273">
        <v>68.16</v>
      </c>
      <c r="I273">
        <v>31</v>
      </c>
      <c r="J273">
        <v>2112.96</v>
      </c>
    </row>
    <row r="274" spans="1:10" x14ac:dyDescent="0.3">
      <c r="A274">
        <v>273</v>
      </c>
      <c r="B274" s="1">
        <v>46018</v>
      </c>
      <c r="C274" t="s">
        <v>15</v>
      </c>
      <c r="D274" t="s">
        <v>40</v>
      </c>
      <c r="E274" t="s">
        <v>12</v>
      </c>
      <c r="F274" t="s">
        <v>13</v>
      </c>
      <c r="G274" t="s">
        <v>19</v>
      </c>
      <c r="H274">
        <v>46.61</v>
      </c>
      <c r="I274">
        <v>37</v>
      </c>
      <c r="J274">
        <v>1724.57</v>
      </c>
    </row>
    <row r="275" spans="1:10" x14ac:dyDescent="0.3">
      <c r="A275">
        <v>274</v>
      </c>
      <c r="B275" s="1">
        <v>45825</v>
      </c>
      <c r="C275" t="s">
        <v>15</v>
      </c>
      <c r="D275" t="s">
        <v>11</v>
      </c>
      <c r="E275" t="s">
        <v>39</v>
      </c>
      <c r="F275" t="s">
        <v>18</v>
      </c>
      <c r="G275" t="s">
        <v>14</v>
      </c>
      <c r="H275">
        <v>103.27</v>
      </c>
      <c r="I275">
        <v>29</v>
      </c>
      <c r="J275">
        <v>2994.83</v>
      </c>
    </row>
    <row r="276" spans="1:10" x14ac:dyDescent="0.3">
      <c r="A276">
        <v>275</v>
      </c>
      <c r="B276" s="1">
        <v>45886</v>
      </c>
      <c r="C276" t="s">
        <v>23</v>
      </c>
      <c r="D276" t="s">
        <v>16</v>
      </c>
      <c r="E276" t="s">
        <v>39</v>
      </c>
      <c r="F276" t="s">
        <v>18</v>
      </c>
      <c r="G276" t="s">
        <v>14</v>
      </c>
      <c r="H276">
        <v>98</v>
      </c>
      <c r="I276">
        <v>30</v>
      </c>
      <c r="J276">
        <v>2940</v>
      </c>
    </row>
    <row r="277" spans="1:10" x14ac:dyDescent="0.3">
      <c r="A277">
        <v>276</v>
      </c>
      <c r="B277" s="1">
        <v>45894</v>
      </c>
      <c r="C277" t="s">
        <v>20</v>
      </c>
      <c r="D277" t="s">
        <v>16</v>
      </c>
      <c r="E277" t="s">
        <v>34</v>
      </c>
      <c r="F277" t="s">
        <v>18</v>
      </c>
      <c r="G277" t="s">
        <v>14</v>
      </c>
      <c r="H277">
        <v>82.37</v>
      </c>
      <c r="I277">
        <v>20</v>
      </c>
      <c r="J277">
        <v>1647.4</v>
      </c>
    </row>
    <row r="278" spans="1:10" x14ac:dyDescent="0.3">
      <c r="A278">
        <v>277</v>
      </c>
      <c r="B278" s="1">
        <v>45769</v>
      </c>
      <c r="C278" t="s">
        <v>35</v>
      </c>
      <c r="D278" t="s">
        <v>31</v>
      </c>
      <c r="E278" t="s">
        <v>29</v>
      </c>
      <c r="F278" t="s">
        <v>18</v>
      </c>
      <c r="G278" t="s">
        <v>19</v>
      </c>
      <c r="H278">
        <v>71.510000000000005</v>
      </c>
      <c r="I278">
        <v>3</v>
      </c>
      <c r="J278">
        <v>214.53</v>
      </c>
    </row>
    <row r="279" spans="1:10" x14ac:dyDescent="0.3">
      <c r="A279">
        <v>278</v>
      </c>
      <c r="B279" s="1">
        <v>45899</v>
      </c>
      <c r="C279" t="s">
        <v>23</v>
      </c>
      <c r="D279" t="s">
        <v>37</v>
      </c>
      <c r="E279" t="s">
        <v>21</v>
      </c>
      <c r="F279" t="s">
        <v>25</v>
      </c>
      <c r="G279" t="s">
        <v>22</v>
      </c>
      <c r="H279">
        <v>8.65</v>
      </c>
      <c r="I279">
        <v>27</v>
      </c>
      <c r="J279">
        <v>233.55</v>
      </c>
    </row>
    <row r="280" spans="1:10" x14ac:dyDescent="0.3">
      <c r="A280">
        <v>279</v>
      </c>
      <c r="B280" s="1">
        <v>45887</v>
      </c>
      <c r="C280" t="s">
        <v>35</v>
      </c>
      <c r="D280" t="s">
        <v>26</v>
      </c>
      <c r="E280" t="s">
        <v>32</v>
      </c>
      <c r="F280" t="s">
        <v>25</v>
      </c>
      <c r="G280" t="s">
        <v>19</v>
      </c>
      <c r="H280">
        <v>105.01</v>
      </c>
      <c r="I280">
        <v>25</v>
      </c>
      <c r="J280">
        <v>2625.25</v>
      </c>
    </row>
    <row r="281" spans="1:10" x14ac:dyDescent="0.3">
      <c r="A281">
        <v>280</v>
      </c>
      <c r="B281" s="1">
        <v>45749</v>
      </c>
      <c r="C281" t="s">
        <v>23</v>
      </c>
      <c r="D281" t="s">
        <v>11</v>
      </c>
      <c r="E281" t="s">
        <v>17</v>
      </c>
      <c r="F281" t="s">
        <v>18</v>
      </c>
      <c r="G281" t="s">
        <v>22</v>
      </c>
      <c r="H281">
        <v>119.18</v>
      </c>
      <c r="I281">
        <v>26</v>
      </c>
      <c r="J281">
        <v>3098.68</v>
      </c>
    </row>
    <row r="282" spans="1:10" x14ac:dyDescent="0.3">
      <c r="A282">
        <v>281</v>
      </c>
      <c r="B282" s="1">
        <v>45895</v>
      </c>
      <c r="C282" t="s">
        <v>35</v>
      </c>
      <c r="D282" t="s">
        <v>16</v>
      </c>
      <c r="E282" t="s">
        <v>12</v>
      </c>
      <c r="F282" t="s">
        <v>13</v>
      </c>
      <c r="G282" t="s">
        <v>22</v>
      </c>
      <c r="H282">
        <v>82.45</v>
      </c>
      <c r="I282">
        <v>35</v>
      </c>
      <c r="J282">
        <v>2885.75</v>
      </c>
    </row>
    <row r="283" spans="1:10" x14ac:dyDescent="0.3">
      <c r="A283">
        <v>282</v>
      </c>
      <c r="B283" s="1">
        <v>45835</v>
      </c>
      <c r="C283" t="s">
        <v>15</v>
      </c>
      <c r="D283" t="s">
        <v>40</v>
      </c>
      <c r="E283" t="s">
        <v>21</v>
      </c>
      <c r="F283" t="s">
        <v>18</v>
      </c>
      <c r="G283" t="s">
        <v>19</v>
      </c>
      <c r="H283">
        <v>22.84</v>
      </c>
      <c r="I283">
        <v>13</v>
      </c>
      <c r="J283">
        <v>296.92</v>
      </c>
    </row>
    <row r="284" spans="1:10" x14ac:dyDescent="0.3">
      <c r="A284">
        <v>283</v>
      </c>
      <c r="B284" s="1">
        <v>45763</v>
      </c>
      <c r="C284" t="s">
        <v>20</v>
      </c>
      <c r="D284" t="s">
        <v>38</v>
      </c>
      <c r="E284" t="s">
        <v>17</v>
      </c>
      <c r="F284" t="s">
        <v>13</v>
      </c>
      <c r="G284" t="s">
        <v>14</v>
      </c>
      <c r="H284">
        <v>12.74</v>
      </c>
      <c r="I284">
        <v>39</v>
      </c>
      <c r="J284">
        <v>496.86</v>
      </c>
    </row>
    <row r="285" spans="1:10" x14ac:dyDescent="0.3">
      <c r="A285">
        <v>284</v>
      </c>
      <c r="B285" s="1">
        <v>45680</v>
      </c>
      <c r="C285" t="s">
        <v>30</v>
      </c>
      <c r="D285" t="s">
        <v>40</v>
      </c>
      <c r="E285" t="s">
        <v>32</v>
      </c>
      <c r="F285" t="s">
        <v>25</v>
      </c>
      <c r="G285" t="s">
        <v>19</v>
      </c>
      <c r="H285">
        <v>51.26</v>
      </c>
      <c r="I285">
        <v>15</v>
      </c>
      <c r="J285">
        <v>768.9</v>
      </c>
    </row>
    <row r="286" spans="1:10" x14ac:dyDescent="0.3">
      <c r="A286">
        <v>285</v>
      </c>
      <c r="B286" s="1">
        <v>45952</v>
      </c>
      <c r="C286" t="s">
        <v>28</v>
      </c>
      <c r="D286" t="s">
        <v>11</v>
      </c>
      <c r="E286" t="s">
        <v>34</v>
      </c>
      <c r="F286" t="s">
        <v>13</v>
      </c>
      <c r="G286" t="s">
        <v>14</v>
      </c>
      <c r="H286">
        <v>41.67</v>
      </c>
      <c r="I286">
        <v>39</v>
      </c>
      <c r="J286">
        <v>1625.13</v>
      </c>
    </row>
    <row r="287" spans="1:10" x14ac:dyDescent="0.3">
      <c r="A287">
        <v>286</v>
      </c>
      <c r="B287" s="1">
        <v>45924</v>
      </c>
      <c r="C287" t="s">
        <v>10</v>
      </c>
      <c r="D287" t="s">
        <v>40</v>
      </c>
      <c r="E287" t="s">
        <v>32</v>
      </c>
      <c r="F287" t="s">
        <v>33</v>
      </c>
      <c r="G287" t="s">
        <v>14</v>
      </c>
      <c r="H287">
        <v>30.42</v>
      </c>
      <c r="I287">
        <v>20</v>
      </c>
      <c r="J287">
        <v>608.4</v>
      </c>
    </row>
    <row r="288" spans="1:10" x14ac:dyDescent="0.3">
      <c r="A288">
        <v>287</v>
      </c>
      <c r="B288" s="1">
        <v>45911</v>
      </c>
      <c r="C288" t="s">
        <v>35</v>
      </c>
      <c r="D288" t="s">
        <v>31</v>
      </c>
      <c r="E288" t="s">
        <v>21</v>
      </c>
      <c r="F288" t="s">
        <v>33</v>
      </c>
      <c r="G288" t="s">
        <v>19</v>
      </c>
      <c r="H288">
        <v>10.39</v>
      </c>
      <c r="I288">
        <v>23</v>
      </c>
      <c r="J288">
        <v>238.97</v>
      </c>
    </row>
    <row r="289" spans="1:10" x14ac:dyDescent="0.3">
      <c r="A289">
        <v>288</v>
      </c>
      <c r="B289" s="1">
        <v>45811</v>
      </c>
      <c r="C289" t="s">
        <v>27</v>
      </c>
      <c r="D289" t="s">
        <v>11</v>
      </c>
      <c r="E289" t="s">
        <v>12</v>
      </c>
      <c r="F289" t="s">
        <v>25</v>
      </c>
      <c r="G289" t="s">
        <v>14</v>
      </c>
      <c r="H289">
        <v>48.29</v>
      </c>
      <c r="I289">
        <v>49</v>
      </c>
      <c r="J289">
        <v>2366.21</v>
      </c>
    </row>
    <row r="290" spans="1:10" x14ac:dyDescent="0.3">
      <c r="A290">
        <v>289</v>
      </c>
      <c r="B290" s="1">
        <v>45731</v>
      </c>
      <c r="C290" t="s">
        <v>35</v>
      </c>
      <c r="D290" t="s">
        <v>16</v>
      </c>
      <c r="E290" t="s">
        <v>32</v>
      </c>
      <c r="F290" t="s">
        <v>33</v>
      </c>
      <c r="G290" t="s">
        <v>19</v>
      </c>
      <c r="H290">
        <v>97.66</v>
      </c>
      <c r="I290">
        <v>4</v>
      </c>
      <c r="J290">
        <v>390.64</v>
      </c>
    </row>
    <row r="291" spans="1:10" x14ac:dyDescent="0.3">
      <c r="A291">
        <v>290</v>
      </c>
      <c r="B291" s="1">
        <v>45788</v>
      </c>
      <c r="C291" t="s">
        <v>15</v>
      </c>
      <c r="D291" t="s">
        <v>38</v>
      </c>
      <c r="E291" t="s">
        <v>24</v>
      </c>
      <c r="F291" t="s">
        <v>18</v>
      </c>
      <c r="G291" t="s">
        <v>14</v>
      </c>
      <c r="H291">
        <v>28.38</v>
      </c>
      <c r="I291">
        <v>42</v>
      </c>
      <c r="J291">
        <v>1191.96</v>
      </c>
    </row>
    <row r="292" spans="1:10" x14ac:dyDescent="0.3">
      <c r="A292">
        <v>291</v>
      </c>
      <c r="B292" s="1">
        <v>45755</v>
      </c>
      <c r="C292" t="s">
        <v>20</v>
      </c>
      <c r="D292" t="s">
        <v>26</v>
      </c>
      <c r="E292" t="s">
        <v>12</v>
      </c>
      <c r="F292" t="s">
        <v>13</v>
      </c>
      <c r="G292" t="s">
        <v>22</v>
      </c>
      <c r="H292">
        <v>10.93</v>
      </c>
      <c r="I292">
        <v>25</v>
      </c>
      <c r="J292">
        <v>273.25</v>
      </c>
    </row>
    <row r="293" spans="1:10" x14ac:dyDescent="0.3">
      <c r="A293">
        <v>292</v>
      </c>
      <c r="B293" s="1">
        <v>45764</v>
      </c>
      <c r="C293" t="s">
        <v>10</v>
      </c>
      <c r="D293" t="s">
        <v>40</v>
      </c>
      <c r="E293" t="s">
        <v>12</v>
      </c>
      <c r="F293" t="s">
        <v>13</v>
      </c>
      <c r="G293" t="s">
        <v>14</v>
      </c>
      <c r="H293">
        <v>104.99</v>
      </c>
      <c r="I293">
        <v>22</v>
      </c>
      <c r="J293">
        <v>2309.7800000000002</v>
      </c>
    </row>
    <row r="294" spans="1:10" x14ac:dyDescent="0.3">
      <c r="A294">
        <v>293</v>
      </c>
      <c r="B294" s="1">
        <v>45718</v>
      </c>
      <c r="C294" t="s">
        <v>27</v>
      </c>
      <c r="D294" t="s">
        <v>11</v>
      </c>
      <c r="E294" t="s">
        <v>12</v>
      </c>
      <c r="F294" t="s">
        <v>33</v>
      </c>
      <c r="G294" t="s">
        <v>19</v>
      </c>
      <c r="H294">
        <v>90.89</v>
      </c>
      <c r="I294">
        <v>49</v>
      </c>
      <c r="J294">
        <v>4453.6099999999997</v>
      </c>
    </row>
    <row r="295" spans="1:10" x14ac:dyDescent="0.3">
      <c r="A295">
        <v>294</v>
      </c>
      <c r="B295" s="1">
        <v>45940</v>
      </c>
      <c r="C295" t="s">
        <v>35</v>
      </c>
      <c r="D295" t="s">
        <v>38</v>
      </c>
      <c r="E295" t="s">
        <v>24</v>
      </c>
      <c r="F295" t="s">
        <v>25</v>
      </c>
      <c r="G295" t="s">
        <v>22</v>
      </c>
      <c r="H295">
        <v>41.99</v>
      </c>
      <c r="I295">
        <v>19</v>
      </c>
      <c r="J295">
        <v>797.81</v>
      </c>
    </row>
    <row r="296" spans="1:10" x14ac:dyDescent="0.3">
      <c r="A296">
        <v>295</v>
      </c>
      <c r="B296" s="1">
        <v>45842</v>
      </c>
      <c r="C296" t="s">
        <v>27</v>
      </c>
      <c r="D296" t="s">
        <v>26</v>
      </c>
      <c r="E296" t="s">
        <v>39</v>
      </c>
      <c r="F296" t="s">
        <v>25</v>
      </c>
      <c r="G296" t="s">
        <v>19</v>
      </c>
      <c r="H296">
        <v>63.97</v>
      </c>
      <c r="I296">
        <v>32</v>
      </c>
      <c r="J296">
        <v>2047.04</v>
      </c>
    </row>
    <row r="297" spans="1:10" x14ac:dyDescent="0.3">
      <c r="A297">
        <v>296</v>
      </c>
      <c r="B297" s="1">
        <v>45847</v>
      </c>
      <c r="C297" t="s">
        <v>30</v>
      </c>
      <c r="D297" t="s">
        <v>37</v>
      </c>
      <c r="E297" t="s">
        <v>17</v>
      </c>
      <c r="F297" t="s">
        <v>25</v>
      </c>
      <c r="G297" t="s">
        <v>14</v>
      </c>
      <c r="H297">
        <v>40.99</v>
      </c>
      <c r="I297">
        <v>3</v>
      </c>
      <c r="J297">
        <v>122.97</v>
      </c>
    </row>
    <row r="298" spans="1:10" x14ac:dyDescent="0.3">
      <c r="A298">
        <v>297</v>
      </c>
      <c r="B298" s="1">
        <v>45957</v>
      </c>
      <c r="C298" t="s">
        <v>10</v>
      </c>
      <c r="D298" t="s">
        <v>37</v>
      </c>
      <c r="E298" t="s">
        <v>12</v>
      </c>
      <c r="F298" t="s">
        <v>25</v>
      </c>
      <c r="G298" t="s">
        <v>19</v>
      </c>
      <c r="H298">
        <v>71.599999999999994</v>
      </c>
      <c r="I298">
        <v>27</v>
      </c>
      <c r="J298">
        <v>1933.2</v>
      </c>
    </row>
    <row r="299" spans="1:10" x14ac:dyDescent="0.3">
      <c r="A299">
        <v>298</v>
      </c>
      <c r="B299" s="1">
        <v>45852</v>
      </c>
      <c r="C299" t="s">
        <v>27</v>
      </c>
      <c r="D299" t="s">
        <v>31</v>
      </c>
      <c r="E299" t="s">
        <v>34</v>
      </c>
      <c r="F299" t="s">
        <v>33</v>
      </c>
      <c r="G299" t="s">
        <v>14</v>
      </c>
      <c r="H299">
        <v>70.53</v>
      </c>
      <c r="I299">
        <v>16</v>
      </c>
      <c r="J299">
        <v>1128.48</v>
      </c>
    </row>
    <row r="300" spans="1:10" x14ac:dyDescent="0.3">
      <c r="A300">
        <v>299</v>
      </c>
      <c r="B300" s="1">
        <v>45986</v>
      </c>
      <c r="C300" t="s">
        <v>23</v>
      </c>
      <c r="D300" t="s">
        <v>31</v>
      </c>
      <c r="E300" t="s">
        <v>32</v>
      </c>
      <c r="F300" t="s">
        <v>13</v>
      </c>
      <c r="G300" t="s">
        <v>14</v>
      </c>
      <c r="H300">
        <v>90.05</v>
      </c>
      <c r="I300">
        <v>30</v>
      </c>
      <c r="J300">
        <v>2701.5</v>
      </c>
    </row>
    <row r="301" spans="1:10" x14ac:dyDescent="0.3">
      <c r="A301">
        <v>300</v>
      </c>
      <c r="B301" s="1">
        <v>45937</v>
      </c>
      <c r="C301" t="s">
        <v>20</v>
      </c>
      <c r="D301" t="s">
        <v>40</v>
      </c>
      <c r="E301" t="s">
        <v>29</v>
      </c>
      <c r="F301" t="s">
        <v>18</v>
      </c>
      <c r="G301" t="s">
        <v>19</v>
      </c>
      <c r="H301">
        <v>61.16</v>
      </c>
      <c r="I301">
        <v>35</v>
      </c>
      <c r="J301">
        <v>2140.6</v>
      </c>
    </row>
    <row r="302" spans="1:10" x14ac:dyDescent="0.3">
      <c r="A302">
        <v>301</v>
      </c>
      <c r="B302" s="1">
        <v>45869</v>
      </c>
      <c r="C302" t="s">
        <v>30</v>
      </c>
      <c r="D302" t="s">
        <v>26</v>
      </c>
      <c r="E302" t="s">
        <v>32</v>
      </c>
      <c r="F302" t="s">
        <v>18</v>
      </c>
      <c r="G302" t="s">
        <v>19</v>
      </c>
      <c r="H302">
        <v>20.81</v>
      </c>
      <c r="I302">
        <v>41</v>
      </c>
      <c r="J302">
        <v>853.21</v>
      </c>
    </row>
    <row r="303" spans="1:10" x14ac:dyDescent="0.3">
      <c r="A303">
        <v>302</v>
      </c>
      <c r="B303" s="1">
        <v>45916</v>
      </c>
      <c r="C303" t="s">
        <v>27</v>
      </c>
      <c r="D303" t="s">
        <v>38</v>
      </c>
      <c r="E303" t="s">
        <v>17</v>
      </c>
      <c r="F303" t="s">
        <v>18</v>
      </c>
      <c r="G303" t="s">
        <v>14</v>
      </c>
      <c r="H303">
        <v>57.44</v>
      </c>
      <c r="I303">
        <v>4</v>
      </c>
      <c r="J303">
        <v>229.76</v>
      </c>
    </row>
    <row r="304" spans="1:10" x14ac:dyDescent="0.3">
      <c r="A304">
        <v>303</v>
      </c>
      <c r="B304" s="1">
        <v>45940</v>
      </c>
      <c r="C304" t="s">
        <v>10</v>
      </c>
      <c r="D304" t="s">
        <v>36</v>
      </c>
      <c r="E304" t="s">
        <v>17</v>
      </c>
      <c r="F304" t="s">
        <v>33</v>
      </c>
      <c r="G304" t="s">
        <v>19</v>
      </c>
      <c r="H304">
        <v>52.3</v>
      </c>
      <c r="I304">
        <v>2</v>
      </c>
      <c r="J304">
        <v>104.6</v>
      </c>
    </row>
    <row r="305" spans="1:10" x14ac:dyDescent="0.3">
      <c r="A305">
        <v>304</v>
      </c>
      <c r="B305" s="1">
        <v>45712</v>
      </c>
      <c r="C305" t="s">
        <v>23</v>
      </c>
      <c r="D305" t="s">
        <v>11</v>
      </c>
      <c r="E305" t="s">
        <v>12</v>
      </c>
      <c r="F305" t="s">
        <v>25</v>
      </c>
      <c r="G305" t="s">
        <v>22</v>
      </c>
      <c r="H305">
        <v>110.58</v>
      </c>
      <c r="I305">
        <v>34</v>
      </c>
      <c r="J305">
        <v>3759.72</v>
      </c>
    </row>
    <row r="306" spans="1:10" x14ac:dyDescent="0.3">
      <c r="A306">
        <v>305</v>
      </c>
      <c r="B306" s="1">
        <v>45794</v>
      </c>
      <c r="C306" t="s">
        <v>28</v>
      </c>
      <c r="D306" t="s">
        <v>16</v>
      </c>
      <c r="E306" t="s">
        <v>39</v>
      </c>
      <c r="F306" t="s">
        <v>13</v>
      </c>
      <c r="G306" t="s">
        <v>14</v>
      </c>
      <c r="H306">
        <v>96.42</v>
      </c>
      <c r="I306">
        <v>6</v>
      </c>
      <c r="J306">
        <v>578.52</v>
      </c>
    </row>
    <row r="307" spans="1:10" x14ac:dyDescent="0.3">
      <c r="A307">
        <v>306</v>
      </c>
      <c r="B307" s="1">
        <v>45773</v>
      </c>
      <c r="C307" t="s">
        <v>20</v>
      </c>
      <c r="D307" t="s">
        <v>26</v>
      </c>
      <c r="E307" t="s">
        <v>21</v>
      </c>
      <c r="F307" t="s">
        <v>33</v>
      </c>
      <c r="G307" t="s">
        <v>22</v>
      </c>
      <c r="H307">
        <v>39.5</v>
      </c>
      <c r="I307">
        <v>6</v>
      </c>
      <c r="J307">
        <v>237</v>
      </c>
    </row>
    <row r="308" spans="1:10" x14ac:dyDescent="0.3">
      <c r="A308">
        <v>307</v>
      </c>
      <c r="B308" s="1">
        <v>45940</v>
      </c>
      <c r="C308" t="s">
        <v>20</v>
      </c>
      <c r="D308" t="s">
        <v>37</v>
      </c>
      <c r="E308" t="s">
        <v>29</v>
      </c>
      <c r="F308" t="s">
        <v>33</v>
      </c>
      <c r="G308" t="s">
        <v>22</v>
      </c>
      <c r="H308">
        <v>59.74</v>
      </c>
      <c r="I308">
        <v>41</v>
      </c>
      <c r="J308">
        <v>2449.34</v>
      </c>
    </row>
    <row r="309" spans="1:10" x14ac:dyDescent="0.3">
      <c r="A309">
        <v>308</v>
      </c>
      <c r="B309" s="1">
        <v>45988</v>
      </c>
      <c r="C309" t="s">
        <v>15</v>
      </c>
      <c r="D309" t="s">
        <v>40</v>
      </c>
      <c r="E309" t="s">
        <v>12</v>
      </c>
      <c r="F309" t="s">
        <v>13</v>
      </c>
      <c r="G309" t="s">
        <v>14</v>
      </c>
      <c r="H309">
        <v>95.2</v>
      </c>
      <c r="I309">
        <v>37</v>
      </c>
      <c r="J309">
        <v>3522.4</v>
      </c>
    </row>
    <row r="310" spans="1:10" x14ac:dyDescent="0.3">
      <c r="A310">
        <v>309</v>
      </c>
      <c r="B310" s="1">
        <v>45948</v>
      </c>
      <c r="C310" t="s">
        <v>15</v>
      </c>
      <c r="D310" t="s">
        <v>36</v>
      </c>
      <c r="E310" t="s">
        <v>17</v>
      </c>
      <c r="F310" t="s">
        <v>13</v>
      </c>
      <c r="G310" t="s">
        <v>22</v>
      </c>
      <c r="H310">
        <v>59.68</v>
      </c>
      <c r="I310">
        <v>3</v>
      </c>
      <c r="J310">
        <v>179.04</v>
      </c>
    </row>
    <row r="311" spans="1:10" x14ac:dyDescent="0.3">
      <c r="A311">
        <v>310</v>
      </c>
      <c r="B311" s="1">
        <v>45666</v>
      </c>
      <c r="C311" t="s">
        <v>23</v>
      </c>
      <c r="D311" t="s">
        <v>16</v>
      </c>
      <c r="E311" t="s">
        <v>29</v>
      </c>
      <c r="F311" t="s">
        <v>25</v>
      </c>
      <c r="G311" t="s">
        <v>19</v>
      </c>
      <c r="H311">
        <v>115.57</v>
      </c>
      <c r="I311">
        <v>38</v>
      </c>
      <c r="J311">
        <v>4391.66</v>
      </c>
    </row>
    <row r="312" spans="1:10" x14ac:dyDescent="0.3">
      <c r="A312">
        <v>311</v>
      </c>
      <c r="B312" s="1">
        <v>45946</v>
      </c>
      <c r="C312" t="s">
        <v>28</v>
      </c>
      <c r="D312" t="s">
        <v>16</v>
      </c>
      <c r="E312" t="s">
        <v>32</v>
      </c>
      <c r="F312" t="s">
        <v>18</v>
      </c>
      <c r="G312" t="s">
        <v>14</v>
      </c>
      <c r="H312">
        <v>32.65</v>
      </c>
      <c r="I312">
        <v>25</v>
      </c>
      <c r="J312">
        <v>816.25</v>
      </c>
    </row>
    <row r="313" spans="1:10" x14ac:dyDescent="0.3">
      <c r="A313">
        <v>312</v>
      </c>
      <c r="B313" s="1">
        <v>45835</v>
      </c>
      <c r="C313" t="s">
        <v>30</v>
      </c>
      <c r="D313" t="s">
        <v>26</v>
      </c>
      <c r="E313" t="s">
        <v>24</v>
      </c>
      <c r="F313" t="s">
        <v>33</v>
      </c>
      <c r="G313" t="s">
        <v>22</v>
      </c>
      <c r="H313">
        <v>11.18</v>
      </c>
      <c r="I313">
        <v>28</v>
      </c>
      <c r="J313">
        <v>313.04000000000002</v>
      </c>
    </row>
    <row r="314" spans="1:10" x14ac:dyDescent="0.3">
      <c r="A314">
        <v>313</v>
      </c>
      <c r="B314" s="1">
        <v>45673</v>
      </c>
      <c r="C314" t="s">
        <v>27</v>
      </c>
      <c r="D314" t="s">
        <v>11</v>
      </c>
      <c r="E314" t="s">
        <v>24</v>
      </c>
      <c r="F314" t="s">
        <v>33</v>
      </c>
      <c r="G314" t="s">
        <v>22</v>
      </c>
      <c r="H314">
        <v>77.92</v>
      </c>
      <c r="I314">
        <v>29</v>
      </c>
      <c r="J314">
        <v>2259.6799999999998</v>
      </c>
    </row>
    <row r="315" spans="1:10" x14ac:dyDescent="0.3">
      <c r="A315">
        <v>314</v>
      </c>
      <c r="B315" s="1">
        <v>45753</v>
      </c>
      <c r="C315" t="s">
        <v>35</v>
      </c>
      <c r="D315" t="s">
        <v>26</v>
      </c>
      <c r="E315" t="s">
        <v>34</v>
      </c>
      <c r="F315" t="s">
        <v>13</v>
      </c>
      <c r="G315" t="s">
        <v>14</v>
      </c>
      <c r="H315">
        <v>83.16</v>
      </c>
      <c r="I315">
        <v>43</v>
      </c>
      <c r="J315">
        <v>3575.88</v>
      </c>
    </row>
    <row r="316" spans="1:10" x14ac:dyDescent="0.3">
      <c r="A316">
        <v>315</v>
      </c>
      <c r="B316" s="1">
        <v>45695</v>
      </c>
      <c r="C316" t="s">
        <v>35</v>
      </c>
      <c r="D316" t="s">
        <v>37</v>
      </c>
      <c r="E316" t="s">
        <v>21</v>
      </c>
      <c r="F316" t="s">
        <v>25</v>
      </c>
      <c r="G316" t="s">
        <v>22</v>
      </c>
      <c r="H316">
        <v>14.43</v>
      </c>
      <c r="I316">
        <v>10</v>
      </c>
      <c r="J316">
        <v>144.30000000000001</v>
      </c>
    </row>
    <row r="317" spans="1:10" x14ac:dyDescent="0.3">
      <c r="A317">
        <v>316</v>
      </c>
      <c r="B317" s="1">
        <v>45712</v>
      </c>
      <c r="C317" t="s">
        <v>27</v>
      </c>
      <c r="D317" t="s">
        <v>31</v>
      </c>
      <c r="E317" t="s">
        <v>34</v>
      </c>
      <c r="F317" t="s">
        <v>18</v>
      </c>
      <c r="G317" t="s">
        <v>19</v>
      </c>
      <c r="H317">
        <v>15.52</v>
      </c>
      <c r="I317">
        <v>20</v>
      </c>
      <c r="J317">
        <v>310.39999999999998</v>
      </c>
    </row>
    <row r="318" spans="1:10" x14ac:dyDescent="0.3">
      <c r="A318">
        <v>317</v>
      </c>
      <c r="B318" s="1">
        <v>45702</v>
      </c>
      <c r="C318" t="s">
        <v>35</v>
      </c>
      <c r="D318" t="s">
        <v>26</v>
      </c>
      <c r="E318" t="s">
        <v>17</v>
      </c>
      <c r="F318" t="s">
        <v>18</v>
      </c>
      <c r="G318" t="s">
        <v>22</v>
      </c>
      <c r="H318">
        <v>26.55</v>
      </c>
      <c r="I318">
        <v>29</v>
      </c>
      <c r="J318">
        <v>769.95</v>
      </c>
    </row>
    <row r="319" spans="1:10" x14ac:dyDescent="0.3">
      <c r="A319">
        <v>318</v>
      </c>
      <c r="B319" s="1">
        <v>45941</v>
      </c>
      <c r="C319" t="s">
        <v>28</v>
      </c>
      <c r="D319" t="s">
        <v>16</v>
      </c>
      <c r="E319" t="s">
        <v>17</v>
      </c>
      <c r="F319" t="s">
        <v>25</v>
      </c>
      <c r="G319" t="s">
        <v>22</v>
      </c>
      <c r="H319">
        <v>15.7</v>
      </c>
      <c r="I319">
        <v>39</v>
      </c>
      <c r="J319">
        <v>612.29999999999995</v>
      </c>
    </row>
    <row r="320" spans="1:10" x14ac:dyDescent="0.3">
      <c r="A320">
        <v>319</v>
      </c>
      <c r="B320" s="1">
        <v>45856</v>
      </c>
      <c r="C320" t="s">
        <v>30</v>
      </c>
      <c r="D320" t="s">
        <v>37</v>
      </c>
      <c r="E320" t="s">
        <v>21</v>
      </c>
      <c r="F320" t="s">
        <v>13</v>
      </c>
      <c r="G320" t="s">
        <v>19</v>
      </c>
      <c r="H320">
        <v>94.6</v>
      </c>
      <c r="I320">
        <v>47</v>
      </c>
      <c r="J320">
        <v>4446.2</v>
      </c>
    </row>
    <row r="321" spans="1:10" x14ac:dyDescent="0.3">
      <c r="A321">
        <v>320</v>
      </c>
      <c r="B321" s="1">
        <v>45795</v>
      </c>
      <c r="C321" t="s">
        <v>23</v>
      </c>
      <c r="D321" t="s">
        <v>26</v>
      </c>
      <c r="E321" t="s">
        <v>32</v>
      </c>
      <c r="F321" t="s">
        <v>33</v>
      </c>
      <c r="G321" t="s">
        <v>22</v>
      </c>
      <c r="H321">
        <v>39.630000000000003</v>
      </c>
      <c r="I321">
        <v>32</v>
      </c>
      <c r="J321">
        <v>1268.1600000000001</v>
      </c>
    </row>
    <row r="322" spans="1:10" x14ac:dyDescent="0.3">
      <c r="A322">
        <v>321</v>
      </c>
      <c r="B322" s="1">
        <v>45873</v>
      </c>
      <c r="C322" t="s">
        <v>28</v>
      </c>
      <c r="D322" t="s">
        <v>36</v>
      </c>
      <c r="E322" t="s">
        <v>12</v>
      </c>
      <c r="F322" t="s">
        <v>33</v>
      </c>
      <c r="G322" t="s">
        <v>14</v>
      </c>
      <c r="H322">
        <v>39.47</v>
      </c>
      <c r="I322">
        <v>5</v>
      </c>
      <c r="J322">
        <v>197.35</v>
      </c>
    </row>
    <row r="323" spans="1:10" x14ac:dyDescent="0.3">
      <c r="A323">
        <v>322</v>
      </c>
      <c r="B323" s="1">
        <v>45973</v>
      </c>
      <c r="C323" t="s">
        <v>23</v>
      </c>
      <c r="D323" t="s">
        <v>36</v>
      </c>
      <c r="E323" t="s">
        <v>17</v>
      </c>
      <c r="F323" t="s">
        <v>33</v>
      </c>
      <c r="G323" t="s">
        <v>22</v>
      </c>
      <c r="H323">
        <v>27.49</v>
      </c>
      <c r="I323">
        <v>7</v>
      </c>
      <c r="J323">
        <v>192.43</v>
      </c>
    </row>
    <row r="324" spans="1:10" x14ac:dyDescent="0.3">
      <c r="A324">
        <v>323</v>
      </c>
      <c r="B324" s="1">
        <v>45975</v>
      </c>
      <c r="C324" t="s">
        <v>27</v>
      </c>
      <c r="D324" t="s">
        <v>31</v>
      </c>
      <c r="E324" t="s">
        <v>21</v>
      </c>
      <c r="F324" t="s">
        <v>13</v>
      </c>
      <c r="G324" t="s">
        <v>22</v>
      </c>
      <c r="H324">
        <v>48.69</v>
      </c>
      <c r="I324">
        <v>22</v>
      </c>
      <c r="J324">
        <v>1071.18</v>
      </c>
    </row>
    <row r="325" spans="1:10" x14ac:dyDescent="0.3">
      <c r="A325">
        <v>324</v>
      </c>
      <c r="B325" s="1">
        <v>45822</v>
      </c>
      <c r="C325" t="s">
        <v>30</v>
      </c>
      <c r="D325" t="s">
        <v>38</v>
      </c>
      <c r="E325" t="s">
        <v>24</v>
      </c>
      <c r="F325" t="s">
        <v>13</v>
      </c>
      <c r="G325" t="s">
        <v>22</v>
      </c>
      <c r="H325">
        <v>74.37</v>
      </c>
      <c r="I325">
        <v>45</v>
      </c>
      <c r="J325">
        <v>3346.65</v>
      </c>
    </row>
    <row r="326" spans="1:10" x14ac:dyDescent="0.3">
      <c r="A326">
        <v>325</v>
      </c>
      <c r="B326" s="1">
        <v>45821</v>
      </c>
      <c r="C326" t="s">
        <v>27</v>
      </c>
      <c r="D326" t="s">
        <v>11</v>
      </c>
      <c r="E326" t="s">
        <v>24</v>
      </c>
      <c r="F326" t="s">
        <v>33</v>
      </c>
      <c r="G326" t="s">
        <v>22</v>
      </c>
      <c r="H326">
        <v>38.520000000000003</v>
      </c>
      <c r="I326">
        <v>45</v>
      </c>
      <c r="J326">
        <v>1733.4</v>
      </c>
    </row>
    <row r="327" spans="1:10" x14ac:dyDescent="0.3">
      <c r="A327">
        <v>326</v>
      </c>
      <c r="B327" s="1">
        <v>45859</v>
      </c>
      <c r="C327" t="s">
        <v>30</v>
      </c>
      <c r="D327" t="s">
        <v>37</v>
      </c>
      <c r="E327" t="s">
        <v>17</v>
      </c>
      <c r="F327" t="s">
        <v>33</v>
      </c>
      <c r="G327" t="s">
        <v>14</v>
      </c>
      <c r="H327">
        <v>46.98</v>
      </c>
      <c r="I327">
        <v>37</v>
      </c>
      <c r="J327">
        <v>1738.26</v>
      </c>
    </row>
    <row r="328" spans="1:10" x14ac:dyDescent="0.3">
      <c r="A328">
        <v>327</v>
      </c>
      <c r="B328" s="1">
        <v>45765</v>
      </c>
      <c r="C328" t="s">
        <v>15</v>
      </c>
      <c r="D328" t="s">
        <v>16</v>
      </c>
      <c r="E328" t="s">
        <v>39</v>
      </c>
      <c r="F328" t="s">
        <v>13</v>
      </c>
      <c r="G328" t="s">
        <v>14</v>
      </c>
      <c r="H328">
        <v>55.42</v>
      </c>
      <c r="I328">
        <v>19</v>
      </c>
      <c r="J328">
        <v>1052.98</v>
      </c>
    </row>
    <row r="329" spans="1:10" x14ac:dyDescent="0.3">
      <c r="A329">
        <v>328</v>
      </c>
      <c r="B329" s="1">
        <v>45813</v>
      </c>
      <c r="C329" t="s">
        <v>23</v>
      </c>
      <c r="D329" t="s">
        <v>16</v>
      </c>
      <c r="E329" t="s">
        <v>21</v>
      </c>
      <c r="F329" t="s">
        <v>18</v>
      </c>
      <c r="G329" t="s">
        <v>22</v>
      </c>
      <c r="H329">
        <v>32.83</v>
      </c>
      <c r="I329">
        <v>43</v>
      </c>
      <c r="J329">
        <v>1411.69</v>
      </c>
    </row>
    <row r="330" spans="1:10" x14ac:dyDescent="0.3">
      <c r="A330">
        <v>329</v>
      </c>
      <c r="B330" s="1">
        <v>45964</v>
      </c>
      <c r="C330" t="s">
        <v>35</v>
      </c>
      <c r="D330" t="s">
        <v>40</v>
      </c>
      <c r="E330" t="s">
        <v>24</v>
      </c>
      <c r="F330" t="s">
        <v>18</v>
      </c>
      <c r="G330" t="s">
        <v>19</v>
      </c>
      <c r="H330">
        <v>60.11</v>
      </c>
      <c r="I330">
        <v>26</v>
      </c>
      <c r="J330">
        <v>1562.86</v>
      </c>
    </row>
    <row r="331" spans="1:10" x14ac:dyDescent="0.3">
      <c r="A331">
        <v>330</v>
      </c>
      <c r="B331" s="1">
        <v>45785</v>
      </c>
      <c r="C331" t="s">
        <v>23</v>
      </c>
      <c r="D331" t="s">
        <v>40</v>
      </c>
      <c r="E331" t="s">
        <v>21</v>
      </c>
      <c r="F331" t="s">
        <v>25</v>
      </c>
      <c r="G331" t="s">
        <v>22</v>
      </c>
      <c r="H331">
        <v>80.62</v>
      </c>
      <c r="I331">
        <v>23</v>
      </c>
      <c r="J331">
        <v>1854.26</v>
      </c>
    </row>
    <row r="332" spans="1:10" x14ac:dyDescent="0.3">
      <c r="A332">
        <v>331</v>
      </c>
      <c r="B332" s="1">
        <v>45712</v>
      </c>
      <c r="C332" t="s">
        <v>30</v>
      </c>
      <c r="D332" t="s">
        <v>11</v>
      </c>
      <c r="E332" t="s">
        <v>39</v>
      </c>
      <c r="F332" t="s">
        <v>25</v>
      </c>
      <c r="G332" t="s">
        <v>22</v>
      </c>
      <c r="H332">
        <v>6.21</v>
      </c>
      <c r="I332">
        <v>17</v>
      </c>
      <c r="J332">
        <v>105.57</v>
      </c>
    </row>
    <row r="333" spans="1:10" x14ac:dyDescent="0.3">
      <c r="A333">
        <v>332</v>
      </c>
      <c r="B333" s="1">
        <v>45895</v>
      </c>
      <c r="C333" t="s">
        <v>23</v>
      </c>
      <c r="D333" t="s">
        <v>31</v>
      </c>
      <c r="E333" t="s">
        <v>17</v>
      </c>
      <c r="F333" t="s">
        <v>33</v>
      </c>
      <c r="G333" t="s">
        <v>19</v>
      </c>
      <c r="H333">
        <v>93.82</v>
      </c>
      <c r="I333">
        <v>38</v>
      </c>
      <c r="J333">
        <v>3565.16</v>
      </c>
    </row>
    <row r="334" spans="1:10" x14ac:dyDescent="0.3">
      <c r="A334">
        <v>333</v>
      </c>
      <c r="B334" s="1">
        <v>45809</v>
      </c>
      <c r="C334" t="s">
        <v>15</v>
      </c>
      <c r="D334" t="s">
        <v>37</v>
      </c>
      <c r="E334" t="s">
        <v>24</v>
      </c>
      <c r="F334" t="s">
        <v>25</v>
      </c>
      <c r="G334" t="s">
        <v>22</v>
      </c>
      <c r="H334">
        <v>52.84</v>
      </c>
      <c r="I334">
        <v>6</v>
      </c>
      <c r="J334">
        <v>317.04000000000002</v>
      </c>
    </row>
    <row r="335" spans="1:10" x14ac:dyDescent="0.3">
      <c r="A335">
        <v>334</v>
      </c>
      <c r="B335" s="1">
        <v>45891</v>
      </c>
      <c r="C335" t="s">
        <v>27</v>
      </c>
      <c r="D335" t="s">
        <v>31</v>
      </c>
      <c r="E335" t="s">
        <v>39</v>
      </c>
      <c r="F335" t="s">
        <v>18</v>
      </c>
      <c r="G335" t="s">
        <v>22</v>
      </c>
      <c r="H335">
        <v>95.19</v>
      </c>
      <c r="I335">
        <v>34</v>
      </c>
      <c r="J335">
        <v>3236.46</v>
      </c>
    </row>
    <row r="336" spans="1:10" x14ac:dyDescent="0.3">
      <c r="A336">
        <v>335</v>
      </c>
      <c r="B336" s="1">
        <v>46014</v>
      </c>
      <c r="C336" t="s">
        <v>10</v>
      </c>
      <c r="D336" t="s">
        <v>40</v>
      </c>
      <c r="E336" t="s">
        <v>29</v>
      </c>
      <c r="F336" t="s">
        <v>18</v>
      </c>
      <c r="G336" t="s">
        <v>22</v>
      </c>
      <c r="H336">
        <v>57.03</v>
      </c>
      <c r="I336">
        <v>5</v>
      </c>
      <c r="J336">
        <v>285.14999999999998</v>
      </c>
    </row>
    <row r="337" spans="1:10" x14ac:dyDescent="0.3">
      <c r="A337">
        <v>336</v>
      </c>
      <c r="B337" s="1">
        <v>45989</v>
      </c>
      <c r="C337" t="s">
        <v>30</v>
      </c>
      <c r="D337" t="s">
        <v>37</v>
      </c>
      <c r="E337" t="s">
        <v>32</v>
      </c>
      <c r="F337" t="s">
        <v>25</v>
      </c>
      <c r="G337" t="s">
        <v>14</v>
      </c>
      <c r="H337">
        <v>17.579999999999998</v>
      </c>
      <c r="I337">
        <v>11</v>
      </c>
      <c r="J337">
        <v>193.38</v>
      </c>
    </row>
    <row r="338" spans="1:10" x14ac:dyDescent="0.3">
      <c r="A338">
        <v>337</v>
      </c>
      <c r="B338" s="1">
        <v>45876</v>
      </c>
      <c r="C338" t="s">
        <v>35</v>
      </c>
      <c r="D338" t="s">
        <v>37</v>
      </c>
      <c r="E338" t="s">
        <v>32</v>
      </c>
      <c r="F338" t="s">
        <v>33</v>
      </c>
      <c r="G338" t="s">
        <v>22</v>
      </c>
      <c r="H338">
        <v>115.22</v>
      </c>
      <c r="I338">
        <v>15</v>
      </c>
      <c r="J338">
        <v>1728.3</v>
      </c>
    </row>
    <row r="339" spans="1:10" x14ac:dyDescent="0.3">
      <c r="A339">
        <v>338</v>
      </c>
      <c r="B339" s="1">
        <v>45672</v>
      </c>
      <c r="C339" t="s">
        <v>27</v>
      </c>
      <c r="D339" t="s">
        <v>16</v>
      </c>
      <c r="E339" t="s">
        <v>21</v>
      </c>
      <c r="F339" t="s">
        <v>18</v>
      </c>
      <c r="G339" t="s">
        <v>14</v>
      </c>
      <c r="H339">
        <v>89.8</v>
      </c>
      <c r="I339">
        <v>13</v>
      </c>
      <c r="J339">
        <v>1167.4000000000001</v>
      </c>
    </row>
    <row r="340" spans="1:10" x14ac:dyDescent="0.3">
      <c r="A340">
        <v>339</v>
      </c>
      <c r="B340" s="1">
        <v>45767</v>
      </c>
      <c r="C340" t="s">
        <v>15</v>
      </c>
      <c r="D340" t="s">
        <v>26</v>
      </c>
      <c r="E340" t="s">
        <v>32</v>
      </c>
      <c r="F340" t="s">
        <v>25</v>
      </c>
      <c r="G340" t="s">
        <v>22</v>
      </c>
      <c r="H340">
        <v>28.67</v>
      </c>
      <c r="I340">
        <v>49</v>
      </c>
      <c r="J340">
        <v>1404.83</v>
      </c>
    </row>
    <row r="341" spans="1:10" x14ac:dyDescent="0.3">
      <c r="A341">
        <v>340</v>
      </c>
      <c r="B341" s="1">
        <v>45758</v>
      </c>
      <c r="C341" t="s">
        <v>27</v>
      </c>
      <c r="D341" t="s">
        <v>31</v>
      </c>
      <c r="E341" t="s">
        <v>21</v>
      </c>
      <c r="F341" t="s">
        <v>33</v>
      </c>
      <c r="G341" t="s">
        <v>14</v>
      </c>
      <c r="H341">
        <v>57.62</v>
      </c>
      <c r="I341">
        <v>17</v>
      </c>
      <c r="J341">
        <v>979.54</v>
      </c>
    </row>
    <row r="342" spans="1:10" x14ac:dyDescent="0.3">
      <c r="A342">
        <v>341</v>
      </c>
      <c r="B342" s="1">
        <v>45716</v>
      </c>
      <c r="C342" t="s">
        <v>23</v>
      </c>
      <c r="D342" t="s">
        <v>36</v>
      </c>
      <c r="E342" t="s">
        <v>29</v>
      </c>
      <c r="F342" t="s">
        <v>13</v>
      </c>
      <c r="G342" t="s">
        <v>22</v>
      </c>
      <c r="H342">
        <v>45.01</v>
      </c>
      <c r="I342">
        <v>30</v>
      </c>
      <c r="J342">
        <v>1350.3</v>
      </c>
    </row>
    <row r="343" spans="1:10" x14ac:dyDescent="0.3">
      <c r="A343">
        <v>342</v>
      </c>
      <c r="B343" s="1">
        <v>45718</v>
      </c>
      <c r="C343" t="s">
        <v>23</v>
      </c>
      <c r="D343" t="s">
        <v>31</v>
      </c>
      <c r="E343" t="s">
        <v>32</v>
      </c>
      <c r="F343" t="s">
        <v>33</v>
      </c>
      <c r="G343" t="s">
        <v>22</v>
      </c>
      <c r="H343">
        <v>32.44</v>
      </c>
      <c r="I343">
        <v>8</v>
      </c>
      <c r="J343">
        <v>259.52</v>
      </c>
    </row>
    <row r="344" spans="1:10" x14ac:dyDescent="0.3">
      <c r="A344">
        <v>343</v>
      </c>
      <c r="B344" s="1">
        <v>45963</v>
      </c>
      <c r="C344" t="s">
        <v>35</v>
      </c>
      <c r="D344" t="s">
        <v>37</v>
      </c>
      <c r="E344" t="s">
        <v>39</v>
      </c>
      <c r="F344" t="s">
        <v>13</v>
      </c>
      <c r="G344" t="s">
        <v>14</v>
      </c>
      <c r="H344">
        <v>20.85</v>
      </c>
      <c r="I344">
        <v>25</v>
      </c>
      <c r="J344">
        <v>521.25</v>
      </c>
    </row>
    <row r="345" spans="1:10" x14ac:dyDescent="0.3">
      <c r="A345">
        <v>344</v>
      </c>
      <c r="B345" s="1">
        <v>45743</v>
      </c>
      <c r="C345" t="s">
        <v>23</v>
      </c>
      <c r="D345" t="s">
        <v>31</v>
      </c>
      <c r="E345" t="s">
        <v>39</v>
      </c>
      <c r="F345" t="s">
        <v>18</v>
      </c>
      <c r="G345" t="s">
        <v>22</v>
      </c>
      <c r="H345">
        <v>61.31</v>
      </c>
      <c r="I345">
        <v>9</v>
      </c>
      <c r="J345">
        <v>551.79</v>
      </c>
    </row>
    <row r="346" spans="1:10" x14ac:dyDescent="0.3">
      <c r="A346">
        <v>345</v>
      </c>
      <c r="B346" s="1">
        <v>45662</v>
      </c>
      <c r="C346" t="s">
        <v>35</v>
      </c>
      <c r="D346" t="s">
        <v>38</v>
      </c>
      <c r="E346" t="s">
        <v>21</v>
      </c>
      <c r="F346" t="s">
        <v>33</v>
      </c>
      <c r="G346" t="s">
        <v>22</v>
      </c>
      <c r="H346">
        <v>60.73</v>
      </c>
      <c r="I346">
        <v>13</v>
      </c>
      <c r="J346">
        <v>789.49</v>
      </c>
    </row>
    <row r="347" spans="1:10" x14ac:dyDescent="0.3">
      <c r="A347">
        <v>346</v>
      </c>
      <c r="B347" s="1">
        <v>46021</v>
      </c>
      <c r="C347" t="s">
        <v>23</v>
      </c>
      <c r="D347" t="s">
        <v>26</v>
      </c>
      <c r="E347" t="s">
        <v>17</v>
      </c>
      <c r="F347" t="s">
        <v>13</v>
      </c>
      <c r="G347" t="s">
        <v>22</v>
      </c>
      <c r="H347">
        <v>101.59</v>
      </c>
      <c r="I347">
        <v>32</v>
      </c>
      <c r="J347">
        <v>3250.88</v>
      </c>
    </row>
    <row r="348" spans="1:10" x14ac:dyDescent="0.3">
      <c r="A348">
        <v>347</v>
      </c>
      <c r="B348" s="1">
        <v>45674</v>
      </c>
      <c r="C348" t="s">
        <v>10</v>
      </c>
      <c r="D348" t="s">
        <v>37</v>
      </c>
      <c r="E348" t="s">
        <v>39</v>
      </c>
      <c r="F348" t="s">
        <v>33</v>
      </c>
      <c r="G348" t="s">
        <v>14</v>
      </c>
      <c r="H348">
        <v>36.61</v>
      </c>
      <c r="I348">
        <v>35</v>
      </c>
      <c r="J348">
        <v>1281.3499999999999</v>
      </c>
    </row>
    <row r="349" spans="1:10" x14ac:dyDescent="0.3">
      <c r="A349">
        <v>348</v>
      </c>
      <c r="B349" s="1">
        <v>45919</v>
      </c>
      <c r="C349" t="s">
        <v>10</v>
      </c>
      <c r="D349" t="s">
        <v>31</v>
      </c>
      <c r="E349" t="s">
        <v>17</v>
      </c>
      <c r="F349" t="s">
        <v>33</v>
      </c>
      <c r="G349" t="s">
        <v>14</v>
      </c>
      <c r="H349">
        <v>18.02</v>
      </c>
      <c r="I349">
        <v>8</v>
      </c>
      <c r="J349">
        <v>144.16</v>
      </c>
    </row>
    <row r="350" spans="1:10" x14ac:dyDescent="0.3">
      <c r="A350">
        <v>349</v>
      </c>
      <c r="B350" s="1">
        <v>45769</v>
      </c>
      <c r="C350" t="s">
        <v>30</v>
      </c>
      <c r="D350" t="s">
        <v>36</v>
      </c>
      <c r="E350" t="s">
        <v>17</v>
      </c>
      <c r="F350" t="s">
        <v>33</v>
      </c>
      <c r="G350" t="s">
        <v>22</v>
      </c>
      <c r="H350">
        <v>118.82</v>
      </c>
      <c r="I350">
        <v>7</v>
      </c>
      <c r="J350">
        <v>831.74</v>
      </c>
    </row>
    <row r="351" spans="1:10" x14ac:dyDescent="0.3">
      <c r="A351">
        <v>350</v>
      </c>
      <c r="B351" s="1">
        <v>45836</v>
      </c>
      <c r="C351" t="s">
        <v>27</v>
      </c>
      <c r="D351" t="s">
        <v>26</v>
      </c>
      <c r="E351" t="s">
        <v>12</v>
      </c>
      <c r="F351" t="s">
        <v>13</v>
      </c>
      <c r="G351" t="s">
        <v>14</v>
      </c>
      <c r="H351">
        <v>104.15</v>
      </c>
      <c r="I351">
        <v>6</v>
      </c>
      <c r="J351">
        <v>624.9</v>
      </c>
    </row>
    <row r="352" spans="1:10" x14ac:dyDescent="0.3">
      <c r="A352">
        <v>351</v>
      </c>
      <c r="B352" s="1">
        <v>45959</v>
      </c>
      <c r="C352" t="s">
        <v>35</v>
      </c>
      <c r="D352" t="s">
        <v>37</v>
      </c>
      <c r="E352" t="s">
        <v>32</v>
      </c>
      <c r="F352" t="s">
        <v>13</v>
      </c>
      <c r="G352" t="s">
        <v>19</v>
      </c>
      <c r="H352">
        <v>84.25</v>
      </c>
      <c r="I352">
        <v>46</v>
      </c>
      <c r="J352">
        <v>3875.5</v>
      </c>
    </row>
    <row r="353" spans="1:10" x14ac:dyDescent="0.3">
      <c r="A353">
        <v>352</v>
      </c>
      <c r="B353" s="1">
        <v>45688</v>
      </c>
      <c r="C353" t="s">
        <v>10</v>
      </c>
      <c r="D353" t="s">
        <v>37</v>
      </c>
      <c r="E353" t="s">
        <v>24</v>
      </c>
      <c r="F353" t="s">
        <v>25</v>
      </c>
      <c r="G353" t="s">
        <v>22</v>
      </c>
      <c r="H353">
        <v>70.56</v>
      </c>
      <c r="I353">
        <v>35</v>
      </c>
      <c r="J353">
        <v>2469.6</v>
      </c>
    </row>
    <row r="354" spans="1:10" x14ac:dyDescent="0.3">
      <c r="A354">
        <v>353</v>
      </c>
      <c r="B354" s="1">
        <v>45951</v>
      </c>
      <c r="C354" t="s">
        <v>15</v>
      </c>
      <c r="D354" t="s">
        <v>37</v>
      </c>
      <c r="E354" t="s">
        <v>21</v>
      </c>
      <c r="F354" t="s">
        <v>18</v>
      </c>
      <c r="G354" t="s">
        <v>22</v>
      </c>
      <c r="H354">
        <v>35.74</v>
      </c>
      <c r="I354">
        <v>33</v>
      </c>
      <c r="J354">
        <v>1179.42</v>
      </c>
    </row>
    <row r="355" spans="1:10" x14ac:dyDescent="0.3">
      <c r="A355">
        <v>354</v>
      </c>
      <c r="B355" s="1">
        <v>45993</v>
      </c>
      <c r="C355" t="s">
        <v>30</v>
      </c>
      <c r="D355" t="s">
        <v>37</v>
      </c>
      <c r="E355" t="s">
        <v>24</v>
      </c>
      <c r="F355" t="s">
        <v>13</v>
      </c>
      <c r="G355" t="s">
        <v>14</v>
      </c>
      <c r="H355">
        <v>19.59</v>
      </c>
      <c r="I355">
        <v>9</v>
      </c>
      <c r="J355">
        <v>176.31</v>
      </c>
    </row>
    <row r="356" spans="1:10" x14ac:dyDescent="0.3">
      <c r="A356">
        <v>355</v>
      </c>
      <c r="B356" s="1">
        <v>45859</v>
      </c>
      <c r="C356" t="s">
        <v>10</v>
      </c>
      <c r="D356" t="s">
        <v>16</v>
      </c>
      <c r="E356" t="s">
        <v>21</v>
      </c>
      <c r="F356" t="s">
        <v>33</v>
      </c>
      <c r="G356" t="s">
        <v>19</v>
      </c>
      <c r="H356">
        <v>61.29</v>
      </c>
      <c r="I356">
        <v>37</v>
      </c>
      <c r="J356">
        <v>2267.73</v>
      </c>
    </row>
    <row r="357" spans="1:10" x14ac:dyDescent="0.3">
      <c r="A357">
        <v>356</v>
      </c>
      <c r="B357" s="1">
        <v>45982</v>
      </c>
      <c r="C357" t="s">
        <v>15</v>
      </c>
      <c r="D357" t="s">
        <v>16</v>
      </c>
      <c r="E357" t="s">
        <v>34</v>
      </c>
      <c r="F357" t="s">
        <v>25</v>
      </c>
      <c r="G357" t="s">
        <v>22</v>
      </c>
      <c r="H357">
        <v>96.38</v>
      </c>
      <c r="I357">
        <v>50</v>
      </c>
      <c r="J357">
        <v>4819</v>
      </c>
    </row>
    <row r="358" spans="1:10" x14ac:dyDescent="0.3">
      <c r="A358">
        <v>357</v>
      </c>
      <c r="B358" s="1">
        <v>45907</v>
      </c>
      <c r="C358" t="s">
        <v>15</v>
      </c>
      <c r="D358" t="s">
        <v>38</v>
      </c>
      <c r="E358" t="s">
        <v>24</v>
      </c>
      <c r="F358" t="s">
        <v>18</v>
      </c>
      <c r="G358" t="s">
        <v>14</v>
      </c>
      <c r="H358">
        <v>42.64</v>
      </c>
      <c r="I358">
        <v>1</v>
      </c>
      <c r="J358">
        <v>42.64</v>
      </c>
    </row>
    <row r="359" spans="1:10" x14ac:dyDescent="0.3">
      <c r="A359">
        <v>358</v>
      </c>
      <c r="B359" s="1">
        <v>45861</v>
      </c>
      <c r="C359" t="s">
        <v>30</v>
      </c>
      <c r="D359" t="s">
        <v>38</v>
      </c>
      <c r="E359" t="s">
        <v>34</v>
      </c>
      <c r="F359" t="s">
        <v>25</v>
      </c>
      <c r="G359" t="s">
        <v>22</v>
      </c>
      <c r="H359">
        <v>30.05</v>
      </c>
      <c r="I359">
        <v>28</v>
      </c>
      <c r="J359">
        <v>841.4</v>
      </c>
    </row>
    <row r="360" spans="1:10" x14ac:dyDescent="0.3">
      <c r="A360">
        <v>359</v>
      </c>
      <c r="B360" s="1">
        <v>45830</v>
      </c>
      <c r="C360" t="s">
        <v>27</v>
      </c>
      <c r="D360" t="s">
        <v>31</v>
      </c>
      <c r="E360" t="s">
        <v>17</v>
      </c>
      <c r="F360" t="s">
        <v>18</v>
      </c>
      <c r="G360" t="s">
        <v>19</v>
      </c>
      <c r="H360">
        <v>67.94</v>
      </c>
      <c r="I360">
        <v>9</v>
      </c>
      <c r="J360">
        <v>611.46</v>
      </c>
    </row>
    <row r="361" spans="1:10" x14ac:dyDescent="0.3">
      <c r="A361">
        <v>360</v>
      </c>
      <c r="B361" s="1">
        <v>45978</v>
      </c>
      <c r="C361" t="s">
        <v>20</v>
      </c>
      <c r="D361" t="s">
        <v>26</v>
      </c>
      <c r="E361" t="s">
        <v>32</v>
      </c>
      <c r="F361" t="s">
        <v>33</v>
      </c>
      <c r="G361" t="s">
        <v>22</v>
      </c>
      <c r="H361">
        <v>95.15</v>
      </c>
      <c r="I361">
        <v>30</v>
      </c>
      <c r="J361">
        <v>2854.5</v>
      </c>
    </row>
    <row r="362" spans="1:10" x14ac:dyDescent="0.3">
      <c r="A362">
        <v>361</v>
      </c>
      <c r="B362" s="1">
        <v>45658</v>
      </c>
      <c r="C362" t="s">
        <v>30</v>
      </c>
      <c r="D362" t="s">
        <v>37</v>
      </c>
      <c r="E362" t="s">
        <v>34</v>
      </c>
      <c r="F362" t="s">
        <v>13</v>
      </c>
      <c r="G362" t="s">
        <v>22</v>
      </c>
      <c r="H362">
        <v>119.06</v>
      </c>
      <c r="I362">
        <v>28</v>
      </c>
      <c r="J362">
        <v>3333.68</v>
      </c>
    </row>
    <row r="363" spans="1:10" x14ac:dyDescent="0.3">
      <c r="A363">
        <v>362</v>
      </c>
      <c r="B363" s="1">
        <v>45705</v>
      </c>
      <c r="C363" t="s">
        <v>15</v>
      </c>
      <c r="D363" t="s">
        <v>31</v>
      </c>
      <c r="E363" t="s">
        <v>32</v>
      </c>
      <c r="F363" t="s">
        <v>18</v>
      </c>
      <c r="G363" t="s">
        <v>22</v>
      </c>
      <c r="H363">
        <v>80.28</v>
      </c>
      <c r="I363">
        <v>17</v>
      </c>
      <c r="J363">
        <v>1364.76</v>
      </c>
    </row>
    <row r="364" spans="1:10" x14ac:dyDescent="0.3">
      <c r="A364">
        <v>363</v>
      </c>
      <c r="B364" s="1">
        <v>45978</v>
      </c>
      <c r="C364" t="s">
        <v>30</v>
      </c>
      <c r="D364" t="s">
        <v>16</v>
      </c>
      <c r="E364" t="s">
        <v>29</v>
      </c>
      <c r="F364" t="s">
        <v>18</v>
      </c>
      <c r="G364" t="s">
        <v>19</v>
      </c>
      <c r="H364">
        <v>40.130000000000003</v>
      </c>
      <c r="I364">
        <v>45</v>
      </c>
      <c r="J364">
        <v>1805.85</v>
      </c>
    </row>
    <row r="365" spans="1:10" x14ac:dyDescent="0.3">
      <c r="A365">
        <v>364</v>
      </c>
      <c r="B365" s="1">
        <v>45767</v>
      </c>
      <c r="C365" t="s">
        <v>30</v>
      </c>
      <c r="D365" t="s">
        <v>38</v>
      </c>
      <c r="E365" t="s">
        <v>17</v>
      </c>
      <c r="F365" t="s">
        <v>18</v>
      </c>
      <c r="G365" t="s">
        <v>14</v>
      </c>
      <c r="H365">
        <v>59.83</v>
      </c>
      <c r="I365">
        <v>9</v>
      </c>
      <c r="J365">
        <v>538.47</v>
      </c>
    </row>
    <row r="366" spans="1:10" x14ac:dyDescent="0.3">
      <c r="A366">
        <v>365</v>
      </c>
      <c r="B366" s="1">
        <v>45833</v>
      </c>
      <c r="C366" t="s">
        <v>23</v>
      </c>
      <c r="D366" t="s">
        <v>38</v>
      </c>
      <c r="E366" t="s">
        <v>29</v>
      </c>
      <c r="F366" t="s">
        <v>13</v>
      </c>
      <c r="G366" t="s">
        <v>22</v>
      </c>
      <c r="H366">
        <v>98.97</v>
      </c>
      <c r="I366">
        <v>28</v>
      </c>
      <c r="J366">
        <v>2771.16</v>
      </c>
    </row>
    <row r="367" spans="1:10" x14ac:dyDescent="0.3">
      <c r="A367">
        <v>366</v>
      </c>
      <c r="B367" s="1">
        <v>45703</v>
      </c>
      <c r="C367" t="s">
        <v>15</v>
      </c>
      <c r="D367" t="s">
        <v>31</v>
      </c>
      <c r="E367" t="s">
        <v>24</v>
      </c>
      <c r="F367" t="s">
        <v>25</v>
      </c>
      <c r="G367" t="s">
        <v>19</v>
      </c>
      <c r="H367">
        <v>89.04</v>
      </c>
      <c r="I367">
        <v>7</v>
      </c>
      <c r="J367">
        <v>623.28</v>
      </c>
    </row>
    <row r="368" spans="1:10" x14ac:dyDescent="0.3">
      <c r="A368">
        <v>367</v>
      </c>
      <c r="B368" s="1">
        <v>45853</v>
      </c>
      <c r="C368" t="s">
        <v>23</v>
      </c>
      <c r="D368" t="s">
        <v>37</v>
      </c>
      <c r="E368" t="s">
        <v>29</v>
      </c>
      <c r="F368" t="s">
        <v>18</v>
      </c>
      <c r="G368" t="s">
        <v>14</v>
      </c>
      <c r="H368">
        <v>93.95</v>
      </c>
      <c r="I368">
        <v>49</v>
      </c>
      <c r="J368">
        <v>4603.55</v>
      </c>
    </row>
    <row r="369" spans="1:10" x14ac:dyDescent="0.3">
      <c r="A369">
        <v>368</v>
      </c>
      <c r="B369" s="1">
        <v>45990</v>
      </c>
      <c r="C369" t="s">
        <v>30</v>
      </c>
      <c r="D369" t="s">
        <v>37</v>
      </c>
      <c r="E369" t="s">
        <v>21</v>
      </c>
      <c r="F369" t="s">
        <v>33</v>
      </c>
      <c r="G369" t="s">
        <v>19</v>
      </c>
      <c r="H369">
        <v>23.87</v>
      </c>
      <c r="I369">
        <v>23</v>
      </c>
      <c r="J369">
        <v>549.01</v>
      </c>
    </row>
    <row r="370" spans="1:10" x14ac:dyDescent="0.3">
      <c r="A370">
        <v>369</v>
      </c>
      <c r="B370" s="1">
        <v>45702</v>
      </c>
      <c r="C370" t="s">
        <v>15</v>
      </c>
      <c r="D370" t="s">
        <v>16</v>
      </c>
      <c r="E370" t="s">
        <v>24</v>
      </c>
      <c r="F370" t="s">
        <v>33</v>
      </c>
      <c r="G370" t="s">
        <v>22</v>
      </c>
      <c r="H370">
        <v>108.11</v>
      </c>
      <c r="I370">
        <v>9</v>
      </c>
      <c r="J370">
        <v>972.99</v>
      </c>
    </row>
    <row r="371" spans="1:10" x14ac:dyDescent="0.3">
      <c r="A371">
        <v>370</v>
      </c>
      <c r="B371" s="1">
        <v>45729</v>
      </c>
      <c r="C371" t="s">
        <v>15</v>
      </c>
      <c r="D371" t="s">
        <v>11</v>
      </c>
      <c r="E371" t="s">
        <v>34</v>
      </c>
      <c r="F371" t="s">
        <v>18</v>
      </c>
      <c r="G371" t="s">
        <v>14</v>
      </c>
      <c r="H371">
        <v>33.5</v>
      </c>
      <c r="I371">
        <v>42</v>
      </c>
      <c r="J371">
        <v>1407</v>
      </c>
    </row>
    <row r="372" spans="1:10" x14ac:dyDescent="0.3">
      <c r="A372">
        <v>371</v>
      </c>
      <c r="B372" s="1">
        <v>45812</v>
      </c>
      <c r="C372" t="s">
        <v>30</v>
      </c>
      <c r="D372" t="s">
        <v>16</v>
      </c>
      <c r="E372" t="s">
        <v>34</v>
      </c>
      <c r="F372" t="s">
        <v>18</v>
      </c>
      <c r="G372" t="s">
        <v>19</v>
      </c>
      <c r="H372">
        <v>28.63</v>
      </c>
      <c r="I372">
        <v>39</v>
      </c>
      <c r="J372">
        <v>1116.57</v>
      </c>
    </row>
    <row r="373" spans="1:10" x14ac:dyDescent="0.3">
      <c r="A373">
        <v>372</v>
      </c>
      <c r="B373" s="1">
        <v>45911</v>
      </c>
      <c r="C373" t="s">
        <v>27</v>
      </c>
      <c r="D373" t="s">
        <v>26</v>
      </c>
      <c r="E373" t="s">
        <v>17</v>
      </c>
      <c r="F373" t="s">
        <v>25</v>
      </c>
      <c r="G373" t="s">
        <v>22</v>
      </c>
      <c r="H373">
        <v>49.38</v>
      </c>
      <c r="I373">
        <v>16</v>
      </c>
      <c r="J373">
        <v>790.08</v>
      </c>
    </row>
    <row r="374" spans="1:10" x14ac:dyDescent="0.3">
      <c r="A374">
        <v>373</v>
      </c>
      <c r="B374" s="1">
        <v>45725</v>
      </c>
      <c r="C374" t="s">
        <v>35</v>
      </c>
      <c r="D374" t="s">
        <v>31</v>
      </c>
      <c r="E374" t="s">
        <v>32</v>
      </c>
      <c r="F374" t="s">
        <v>33</v>
      </c>
      <c r="G374" t="s">
        <v>19</v>
      </c>
      <c r="H374">
        <v>49.49</v>
      </c>
      <c r="I374">
        <v>37</v>
      </c>
      <c r="J374">
        <v>1831.13</v>
      </c>
    </row>
    <row r="375" spans="1:10" x14ac:dyDescent="0.3">
      <c r="A375">
        <v>374</v>
      </c>
      <c r="B375" s="1">
        <v>45666</v>
      </c>
      <c r="C375" t="s">
        <v>10</v>
      </c>
      <c r="D375" t="s">
        <v>11</v>
      </c>
      <c r="E375" t="s">
        <v>17</v>
      </c>
      <c r="F375" t="s">
        <v>18</v>
      </c>
      <c r="G375" t="s">
        <v>22</v>
      </c>
      <c r="H375">
        <v>72.55</v>
      </c>
      <c r="I375">
        <v>1</v>
      </c>
      <c r="J375">
        <v>72.55</v>
      </c>
    </row>
    <row r="376" spans="1:10" x14ac:dyDescent="0.3">
      <c r="A376">
        <v>375</v>
      </c>
      <c r="B376" s="1">
        <v>45917</v>
      </c>
      <c r="C376" t="s">
        <v>35</v>
      </c>
      <c r="D376" t="s">
        <v>16</v>
      </c>
      <c r="E376" t="s">
        <v>21</v>
      </c>
      <c r="F376" t="s">
        <v>18</v>
      </c>
      <c r="G376" t="s">
        <v>14</v>
      </c>
      <c r="H376">
        <v>37.950000000000003</v>
      </c>
      <c r="I376">
        <v>46</v>
      </c>
      <c r="J376">
        <v>1745.7</v>
      </c>
    </row>
    <row r="377" spans="1:10" x14ac:dyDescent="0.3">
      <c r="A377">
        <v>376</v>
      </c>
      <c r="B377" s="1">
        <v>45932</v>
      </c>
      <c r="C377" t="s">
        <v>10</v>
      </c>
      <c r="D377" t="s">
        <v>26</v>
      </c>
      <c r="E377" t="s">
        <v>34</v>
      </c>
      <c r="F377" t="s">
        <v>18</v>
      </c>
      <c r="G377" t="s">
        <v>14</v>
      </c>
      <c r="H377">
        <v>66.83</v>
      </c>
      <c r="I377">
        <v>10</v>
      </c>
      <c r="J377">
        <v>668.3</v>
      </c>
    </row>
    <row r="378" spans="1:10" x14ac:dyDescent="0.3">
      <c r="A378">
        <v>377</v>
      </c>
      <c r="B378" s="1">
        <v>45762</v>
      </c>
      <c r="C378" t="s">
        <v>28</v>
      </c>
      <c r="D378" t="s">
        <v>16</v>
      </c>
      <c r="E378" t="s">
        <v>29</v>
      </c>
      <c r="F378" t="s">
        <v>25</v>
      </c>
      <c r="G378" t="s">
        <v>14</v>
      </c>
      <c r="H378">
        <v>117.05</v>
      </c>
      <c r="I378">
        <v>10</v>
      </c>
      <c r="J378">
        <v>1170.5</v>
      </c>
    </row>
    <row r="379" spans="1:10" x14ac:dyDescent="0.3">
      <c r="A379">
        <v>378</v>
      </c>
      <c r="B379" s="1">
        <v>45881</v>
      </c>
      <c r="C379" t="s">
        <v>20</v>
      </c>
      <c r="D379" t="s">
        <v>11</v>
      </c>
      <c r="E379" t="s">
        <v>29</v>
      </c>
      <c r="F379" t="s">
        <v>33</v>
      </c>
      <c r="G379" t="s">
        <v>19</v>
      </c>
      <c r="H379">
        <v>88.95</v>
      </c>
      <c r="I379">
        <v>16</v>
      </c>
      <c r="J379">
        <v>1423.2</v>
      </c>
    </row>
    <row r="380" spans="1:10" x14ac:dyDescent="0.3">
      <c r="A380">
        <v>379</v>
      </c>
      <c r="B380" s="1">
        <v>45890</v>
      </c>
      <c r="C380" t="s">
        <v>10</v>
      </c>
      <c r="D380" t="s">
        <v>37</v>
      </c>
      <c r="E380" t="s">
        <v>29</v>
      </c>
      <c r="F380" t="s">
        <v>18</v>
      </c>
      <c r="G380" t="s">
        <v>14</v>
      </c>
      <c r="H380">
        <v>75.41</v>
      </c>
      <c r="I380">
        <v>4</v>
      </c>
      <c r="J380">
        <v>301.64</v>
      </c>
    </row>
    <row r="381" spans="1:10" x14ac:dyDescent="0.3">
      <c r="A381">
        <v>380</v>
      </c>
      <c r="B381" s="1">
        <v>45728</v>
      </c>
      <c r="C381" t="s">
        <v>27</v>
      </c>
      <c r="D381" t="s">
        <v>31</v>
      </c>
      <c r="E381" t="s">
        <v>34</v>
      </c>
      <c r="F381" t="s">
        <v>13</v>
      </c>
      <c r="G381" t="s">
        <v>22</v>
      </c>
      <c r="H381">
        <v>85.67</v>
      </c>
      <c r="I381">
        <v>11</v>
      </c>
      <c r="J381">
        <v>942.37</v>
      </c>
    </row>
    <row r="382" spans="1:10" x14ac:dyDescent="0.3">
      <c r="A382">
        <v>381</v>
      </c>
      <c r="B382" s="1">
        <v>45722</v>
      </c>
      <c r="C382" t="s">
        <v>15</v>
      </c>
      <c r="D382" t="s">
        <v>40</v>
      </c>
      <c r="E382" t="s">
        <v>24</v>
      </c>
      <c r="F382" t="s">
        <v>33</v>
      </c>
      <c r="G382" t="s">
        <v>22</v>
      </c>
      <c r="H382">
        <v>91.22</v>
      </c>
      <c r="I382">
        <v>18</v>
      </c>
      <c r="J382">
        <v>1641.96</v>
      </c>
    </row>
    <row r="383" spans="1:10" x14ac:dyDescent="0.3">
      <c r="A383">
        <v>382</v>
      </c>
      <c r="B383" s="1">
        <v>45926</v>
      </c>
      <c r="C383" t="s">
        <v>15</v>
      </c>
      <c r="D383" t="s">
        <v>38</v>
      </c>
      <c r="E383" t="s">
        <v>39</v>
      </c>
      <c r="F383" t="s">
        <v>25</v>
      </c>
      <c r="G383" t="s">
        <v>19</v>
      </c>
      <c r="H383">
        <v>12.35</v>
      </c>
      <c r="I383">
        <v>46</v>
      </c>
      <c r="J383">
        <v>568.1</v>
      </c>
    </row>
    <row r="384" spans="1:10" x14ac:dyDescent="0.3">
      <c r="A384">
        <v>383</v>
      </c>
      <c r="B384" s="1">
        <v>45913</v>
      </c>
      <c r="C384" t="s">
        <v>28</v>
      </c>
      <c r="D384" t="s">
        <v>37</v>
      </c>
      <c r="E384" t="s">
        <v>34</v>
      </c>
      <c r="F384" t="s">
        <v>18</v>
      </c>
      <c r="G384" t="s">
        <v>14</v>
      </c>
      <c r="H384">
        <v>103.83</v>
      </c>
      <c r="I384">
        <v>11</v>
      </c>
      <c r="J384">
        <v>1142.1300000000001</v>
      </c>
    </row>
    <row r="385" spans="1:10" x14ac:dyDescent="0.3">
      <c r="A385">
        <v>384</v>
      </c>
      <c r="B385" s="1">
        <v>46003</v>
      </c>
      <c r="C385" t="s">
        <v>20</v>
      </c>
      <c r="D385" t="s">
        <v>40</v>
      </c>
      <c r="E385" t="s">
        <v>17</v>
      </c>
      <c r="F385" t="s">
        <v>13</v>
      </c>
      <c r="G385" t="s">
        <v>19</v>
      </c>
      <c r="H385">
        <v>88.12</v>
      </c>
      <c r="I385">
        <v>15</v>
      </c>
      <c r="J385">
        <v>1321.8</v>
      </c>
    </row>
    <row r="386" spans="1:10" x14ac:dyDescent="0.3">
      <c r="A386">
        <v>385</v>
      </c>
      <c r="B386" s="1">
        <v>45899</v>
      </c>
      <c r="C386" t="s">
        <v>23</v>
      </c>
      <c r="D386" t="s">
        <v>40</v>
      </c>
      <c r="E386" t="s">
        <v>21</v>
      </c>
      <c r="F386" t="s">
        <v>13</v>
      </c>
      <c r="G386" t="s">
        <v>22</v>
      </c>
      <c r="H386">
        <v>46.86</v>
      </c>
      <c r="I386">
        <v>10</v>
      </c>
      <c r="J386">
        <v>468.6</v>
      </c>
    </row>
    <row r="387" spans="1:10" x14ac:dyDescent="0.3">
      <c r="A387">
        <v>386</v>
      </c>
      <c r="B387" s="1">
        <v>45785</v>
      </c>
      <c r="C387" t="s">
        <v>28</v>
      </c>
      <c r="D387" t="s">
        <v>36</v>
      </c>
      <c r="E387" t="s">
        <v>29</v>
      </c>
      <c r="F387" t="s">
        <v>25</v>
      </c>
      <c r="G387" t="s">
        <v>19</v>
      </c>
      <c r="H387">
        <v>52.87</v>
      </c>
      <c r="I387">
        <v>47</v>
      </c>
      <c r="J387">
        <v>2484.89</v>
      </c>
    </row>
    <row r="388" spans="1:10" x14ac:dyDescent="0.3">
      <c r="A388">
        <v>387</v>
      </c>
      <c r="B388" s="1">
        <v>45915</v>
      </c>
      <c r="C388" t="s">
        <v>23</v>
      </c>
      <c r="D388" t="s">
        <v>11</v>
      </c>
      <c r="E388" t="s">
        <v>17</v>
      </c>
      <c r="F388" t="s">
        <v>33</v>
      </c>
      <c r="G388" t="s">
        <v>19</v>
      </c>
      <c r="H388">
        <v>82.43</v>
      </c>
      <c r="I388">
        <v>4</v>
      </c>
      <c r="J388">
        <v>329.72</v>
      </c>
    </row>
    <row r="389" spans="1:10" x14ac:dyDescent="0.3">
      <c r="A389">
        <v>388</v>
      </c>
      <c r="B389" s="1">
        <v>45896</v>
      </c>
      <c r="C389" t="s">
        <v>10</v>
      </c>
      <c r="D389" t="s">
        <v>31</v>
      </c>
      <c r="E389" t="s">
        <v>29</v>
      </c>
      <c r="F389" t="s">
        <v>33</v>
      </c>
      <c r="G389" t="s">
        <v>19</v>
      </c>
      <c r="H389">
        <v>104.59</v>
      </c>
      <c r="I389">
        <v>50</v>
      </c>
      <c r="J389">
        <v>5229.5</v>
      </c>
    </row>
    <row r="390" spans="1:10" x14ac:dyDescent="0.3">
      <c r="A390">
        <v>389</v>
      </c>
      <c r="B390" s="1">
        <v>45846</v>
      </c>
      <c r="C390" t="s">
        <v>10</v>
      </c>
      <c r="D390" t="s">
        <v>11</v>
      </c>
      <c r="E390" t="s">
        <v>39</v>
      </c>
      <c r="F390" t="s">
        <v>25</v>
      </c>
      <c r="G390" t="s">
        <v>14</v>
      </c>
      <c r="H390">
        <v>28.08</v>
      </c>
      <c r="I390">
        <v>37</v>
      </c>
      <c r="J390">
        <v>1038.96</v>
      </c>
    </row>
    <row r="391" spans="1:10" x14ac:dyDescent="0.3">
      <c r="A391">
        <v>390</v>
      </c>
      <c r="B391" s="1">
        <v>45910</v>
      </c>
      <c r="C391" t="s">
        <v>30</v>
      </c>
      <c r="D391" t="s">
        <v>11</v>
      </c>
      <c r="E391" t="s">
        <v>32</v>
      </c>
      <c r="F391" t="s">
        <v>18</v>
      </c>
      <c r="G391" t="s">
        <v>22</v>
      </c>
      <c r="H391">
        <v>119.75</v>
      </c>
      <c r="I391">
        <v>50</v>
      </c>
      <c r="J391">
        <v>5987.5</v>
      </c>
    </row>
    <row r="392" spans="1:10" x14ac:dyDescent="0.3">
      <c r="A392">
        <v>391</v>
      </c>
      <c r="B392" s="1">
        <v>45670</v>
      </c>
      <c r="C392" t="s">
        <v>20</v>
      </c>
      <c r="D392" t="s">
        <v>31</v>
      </c>
      <c r="E392" t="s">
        <v>17</v>
      </c>
      <c r="F392" t="s">
        <v>33</v>
      </c>
      <c r="G392" t="s">
        <v>14</v>
      </c>
      <c r="H392">
        <v>31.79</v>
      </c>
      <c r="I392">
        <v>23</v>
      </c>
      <c r="J392">
        <v>731.17</v>
      </c>
    </row>
    <row r="393" spans="1:10" x14ac:dyDescent="0.3">
      <c r="A393">
        <v>392</v>
      </c>
      <c r="B393" s="1">
        <v>45815</v>
      </c>
      <c r="C393" t="s">
        <v>30</v>
      </c>
      <c r="D393" t="s">
        <v>16</v>
      </c>
      <c r="E393" t="s">
        <v>39</v>
      </c>
      <c r="F393" t="s">
        <v>18</v>
      </c>
      <c r="G393" t="s">
        <v>19</v>
      </c>
      <c r="H393">
        <v>16.95</v>
      </c>
      <c r="I393">
        <v>34</v>
      </c>
      <c r="J393">
        <v>576.29999999999995</v>
      </c>
    </row>
    <row r="394" spans="1:10" x14ac:dyDescent="0.3">
      <c r="A394">
        <v>393</v>
      </c>
      <c r="B394" s="1">
        <v>46022</v>
      </c>
      <c r="C394" t="s">
        <v>30</v>
      </c>
      <c r="D394" t="s">
        <v>16</v>
      </c>
      <c r="E394" t="s">
        <v>24</v>
      </c>
      <c r="F394" t="s">
        <v>33</v>
      </c>
      <c r="G394" t="s">
        <v>14</v>
      </c>
      <c r="H394">
        <v>37.18</v>
      </c>
      <c r="I394">
        <v>3</v>
      </c>
      <c r="J394">
        <v>111.54</v>
      </c>
    </row>
    <row r="395" spans="1:10" x14ac:dyDescent="0.3">
      <c r="A395">
        <v>394</v>
      </c>
      <c r="B395" s="1">
        <v>45701</v>
      </c>
      <c r="C395" t="s">
        <v>23</v>
      </c>
      <c r="D395" t="s">
        <v>16</v>
      </c>
      <c r="E395" t="s">
        <v>29</v>
      </c>
      <c r="F395" t="s">
        <v>18</v>
      </c>
      <c r="G395" t="s">
        <v>22</v>
      </c>
      <c r="H395">
        <v>71.790000000000006</v>
      </c>
      <c r="I395">
        <v>33</v>
      </c>
      <c r="J395">
        <v>2369.0700000000002</v>
      </c>
    </row>
    <row r="396" spans="1:10" x14ac:dyDescent="0.3">
      <c r="A396">
        <v>395</v>
      </c>
      <c r="B396" s="1">
        <v>45997</v>
      </c>
      <c r="C396" t="s">
        <v>10</v>
      </c>
      <c r="D396" t="s">
        <v>36</v>
      </c>
      <c r="E396" t="s">
        <v>24</v>
      </c>
      <c r="F396" t="s">
        <v>33</v>
      </c>
      <c r="G396" t="s">
        <v>14</v>
      </c>
      <c r="H396">
        <v>115.89</v>
      </c>
      <c r="I396">
        <v>16</v>
      </c>
      <c r="J396">
        <v>1854.24</v>
      </c>
    </row>
    <row r="397" spans="1:10" x14ac:dyDescent="0.3">
      <c r="A397">
        <v>396</v>
      </c>
      <c r="B397" s="1">
        <v>45825</v>
      </c>
      <c r="C397" t="s">
        <v>30</v>
      </c>
      <c r="D397" t="s">
        <v>26</v>
      </c>
      <c r="E397" t="s">
        <v>12</v>
      </c>
      <c r="F397" t="s">
        <v>13</v>
      </c>
      <c r="G397" t="s">
        <v>14</v>
      </c>
      <c r="H397">
        <v>41.58</v>
      </c>
      <c r="I397">
        <v>18</v>
      </c>
      <c r="J397">
        <v>748.44</v>
      </c>
    </row>
    <row r="398" spans="1:10" x14ac:dyDescent="0.3">
      <c r="A398">
        <v>397</v>
      </c>
      <c r="B398" s="1">
        <v>45713</v>
      </c>
      <c r="C398" t="s">
        <v>27</v>
      </c>
      <c r="D398" t="s">
        <v>38</v>
      </c>
      <c r="E398" t="s">
        <v>24</v>
      </c>
      <c r="F398" t="s">
        <v>33</v>
      </c>
      <c r="G398" t="s">
        <v>19</v>
      </c>
      <c r="H398">
        <v>22.87</v>
      </c>
      <c r="I398">
        <v>11</v>
      </c>
      <c r="J398">
        <v>251.57</v>
      </c>
    </row>
    <row r="399" spans="1:10" x14ac:dyDescent="0.3">
      <c r="A399">
        <v>398</v>
      </c>
      <c r="B399" s="1">
        <v>45932</v>
      </c>
      <c r="C399" t="s">
        <v>30</v>
      </c>
      <c r="D399" t="s">
        <v>38</v>
      </c>
      <c r="E399" t="s">
        <v>34</v>
      </c>
      <c r="F399" t="s">
        <v>33</v>
      </c>
      <c r="G399" t="s">
        <v>22</v>
      </c>
      <c r="H399">
        <v>46.2</v>
      </c>
      <c r="I399">
        <v>50</v>
      </c>
      <c r="J399">
        <v>2310</v>
      </c>
    </row>
    <row r="400" spans="1:10" x14ac:dyDescent="0.3">
      <c r="A400">
        <v>399</v>
      </c>
      <c r="B400" s="1">
        <v>45719</v>
      </c>
      <c r="C400" t="s">
        <v>10</v>
      </c>
      <c r="D400" t="s">
        <v>40</v>
      </c>
      <c r="E400" t="s">
        <v>12</v>
      </c>
      <c r="F400" t="s">
        <v>25</v>
      </c>
      <c r="G400" t="s">
        <v>19</v>
      </c>
      <c r="H400">
        <v>15.4</v>
      </c>
      <c r="I400">
        <v>44</v>
      </c>
      <c r="J400">
        <v>677.6</v>
      </c>
    </row>
    <row r="401" spans="1:10" x14ac:dyDescent="0.3">
      <c r="A401">
        <v>400</v>
      </c>
      <c r="B401" s="1">
        <v>45704</v>
      </c>
      <c r="C401" t="s">
        <v>35</v>
      </c>
      <c r="D401" t="s">
        <v>40</v>
      </c>
      <c r="E401" t="s">
        <v>34</v>
      </c>
      <c r="F401" t="s">
        <v>25</v>
      </c>
      <c r="G401" t="s">
        <v>19</v>
      </c>
      <c r="H401">
        <v>86.78</v>
      </c>
      <c r="I401">
        <v>23</v>
      </c>
      <c r="J401">
        <v>1995.94</v>
      </c>
    </row>
    <row r="402" spans="1:10" x14ac:dyDescent="0.3">
      <c r="A402">
        <v>401</v>
      </c>
      <c r="B402" s="1">
        <v>45673</v>
      </c>
      <c r="C402" t="s">
        <v>30</v>
      </c>
      <c r="D402" t="s">
        <v>26</v>
      </c>
      <c r="E402" t="s">
        <v>39</v>
      </c>
      <c r="F402" t="s">
        <v>18</v>
      </c>
      <c r="G402" t="s">
        <v>19</v>
      </c>
      <c r="H402">
        <v>114.49</v>
      </c>
      <c r="I402">
        <v>29</v>
      </c>
      <c r="J402">
        <v>3320.21</v>
      </c>
    </row>
    <row r="403" spans="1:10" x14ac:dyDescent="0.3">
      <c r="A403">
        <v>402</v>
      </c>
      <c r="B403" s="1">
        <v>45720</v>
      </c>
      <c r="C403" t="s">
        <v>30</v>
      </c>
      <c r="D403" t="s">
        <v>37</v>
      </c>
      <c r="E403" t="s">
        <v>12</v>
      </c>
      <c r="F403" t="s">
        <v>33</v>
      </c>
      <c r="G403" t="s">
        <v>22</v>
      </c>
      <c r="H403">
        <v>6.38</v>
      </c>
      <c r="I403">
        <v>50</v>
      </c>
      <c r="J403">
        <v>319</v>
      </c>
    </row>
    <row r="404" spans="1:10" x14ac:dyDescent="0.3">
      <c r="A404">
        <v>403</v>
      </c>
      <c r="B404" s="1">
        <v>46009</v>
      </c>
      <c r="C404" t="s">
        <v>15</v>
      </c>
      <c r="D404" t="s">
        <v>36</v>
      </c>
      <c r="E404" t="s">
        <v>29</v>
      </c>
      <c r="F404" t="s">
        <v>18</v>
      </c>
      <c r="G404" t="s">
        <v>19</v>
      </c>
      <c r="H404">
        <v>77.48</v>
      </c>
      <c r="I404">
        <v>42</v>
      </c>
      <c r="J404">
        <v>3254.16</v>
      </c>
    </row>
    <row r="405" spans="1:10" x14ac:dyDescent="0.3">
      <c r="A405">
        <v>404</v>
      </c>
      <c r="B405" s="1">
        <v>45759</v>
      </c>
      <c r="C405" t="s">
        <v>23</v>
      </c>
      <c r="D405" t="s">
        <v>26</v>
      </c>
      <c r="E405" t="s">
        <v>24</v>
      </c>
      <c r="F405" t="s">
        <v>18</v>
      </c>
      <c r="G405" t="s">
        <v>19</v>
      </c>
      <c r="H405">
        <v>108.79</v>
      </c>
      <c r="I405">
        <v>29</v>
      </c>
      <c r="J405">
        <v>3154.91</v>
      </c>
    </row>
    <row r="406" spans="1:10" x14ac:dyDescent="0.3">
      <c r="A406">
        <v>405</v>
      </c>
      <c r="B406" s="1">
        <v>45894</v>
      </c>
      <c r="C406" t="s">
        <v>35</v>
      </c>
      <c r="D406" t="s">
        <v>16</v>
      </c>
      <c r="E406" t="s">
        <v>39</v>
      </c>
      <c r="F406" t="s">
        <v>18</v>
      </c>
      <c r="G406" t="s">
        <v>22</v>
      </c>
      <c r="H406">
        <v>10.82</v>
      </c>
      <c r="I406">
        <v>37</v>
      </c>
      <c r="J406">
        <v>400.34</v>
      </c>
    </row>
    <row r="407" spans="1:10" x14ac:dyDescent="0.3">
      <c r="A407">
        <v>406</v>
      </c>
      <c r="B407" s="1">
        <v>46007</v>
      </c>
      <c r="C407" t="s">
        <v>30</v>
      </c>
      <c r="D407" t="s">
        <v>37</v>
      </c>
      <c r="E407" t="s">
        <v>34</v>
      </c>
      <c r="F407" t="s">
        <v>25</v>
      </c>
      <c r="G407" t="s">
        <v>22</v>
      </c>
      <c r="H407">
        <v>54.07</v>
      </c>
      <c r="I407">
        <v>23</v>
      </c>
      <c r="J407">
        <v>1243.6099999999999</v>
      </c>
    </row>
    <row r="408" spans="1:10" x14ac:dyDescent="0.3">
      <c r="A408">
        <v>407</v>
      </c>
      <c r="B408" s="1">
        <v>45734</v>
      </c>
      <c r="C408" t="s">
        <v>30</v>
      </c>
      <c r="D408" t="s">
        <v>36</v>
      </c>
      <c r="E408" t="s">
        <v>39</v>
      </c>
      <c r="F408" t="s">
        <v>33</v>
      </c>
      <c r="G408" t="s">
        <v>14</v>
      </c>
      <c r="H408">
        <v>8.98</v>
      </c>
      <c r="I408">
        <v>40</v>
      </c>
      <c r="J408">
        <v>359.2</v>
      </c>
    </row>
    <row r="409" spans="1:10" x14ac:dyDescent="0.3">
      <c r="A409">
        <v>408</v>
      </c>
      <c r="B409" s="1">
        <v>45903</v>
      </c>
      <c r="C409" t="s">
        <v>35</v>
      </c>
      <c r="D409" t="s">
        <v>37</v>
      </c>
      <c r="E409" t="s">
        <v>21</v>
      </c>
      <c r="F409" t="s">
        <v>13</v>
      </c>
      <c r="G409" t="s">
        <v>14</v>
      </c>
      <c r="H409">
        <v>12.01</v>
      </c>
      <c r="I409">
        <v>18</v>
      </c>
      <c r="J409">
        <v>216.18</v>
      </c>
    </row>
    <row r="410" spans="1:10" x14ac:dyDescent="0.3">
      <c r="A410">
        <v>409</v>
      </c>
      <c r="B410" s="1">
        <v>45927</v>
      </c>
      <c r="C410" t="s">
        <v>20</v>
      </c>
      <c r="D410" t="s">
        <v>16</v>
      </c>
      <c r="E410" t="s">
        <v>24</v>
      </c>
      <c r="F410" t="s">
        <v>33</v>
      </c>
      <c r="G410" t="s">
        <v>14</v>
      </c>
      <c r="H410">
        <v>33.65</v>
      </c>
      <c r="I410">
        <v>35</v>
      </c>
      <c r="J410">
        <v>1177.75</v>
      </c>
    </row>
    <row r="411" spans="1:10" x14ac:dyDescent="0.3">
      <c r="A411">
        <v>410</v>
      </c>
      <c r="B411" s="1">
        <v>45906</v>
      </c>
      <c r="C411" t="s">
        <v>28</v>
      </c>
      <c r="D411" t="s">
        <v>16</v>
      </c>
      <c r="E411" t="s">
        <v>34</v>
      </c>
      <c r="F411" t="s">
        <v>13</v>
      </c>
      <c r="G411" t="s">
        <v>19</v>
      </c>
      <c r="H411">
        <v>44.56</v>
      </c>
      <c r="I411">
        <v>37</v>
      </c>
      <c r="J411">
        <v>1648.72</v>
      </c>
    </row>
    <row r="412" spans="1:10" x14ac:dyDescent="0.3">
      <c r="A412">
        <v>411</v>
      </c>
      <c r="B412" s="1">
        <v>45821</v>
      </c>
      <c r="C412" t="s">
        <v>10</v>
      </c>
      <c r="D412" t="s">
        <v>40</v>
      </c>
      <c r="E412" t="s">
        <v>39</v>
      </c>
      <c r="F412" t="s">
        <v>25</v>
      </c>
      <c r="G412" t="s">
        <v>14</v>
      </c>
      <c r="H412">
        <v>73.67</v>
      </c>
      <c r="I412">
        <v>2</v>
      </c>
      <c r="J412">
        <v>147.34</v>
      </c>
    </row>
    <row r="413" spans="1:10" x14ac:dyDescent="0.3">
      <c r="A413">
        <v>412</v>
      </c>
      <c r="B413" s="1">
        <v>45777</v>
      </c>
      <c r="C413" t="s">
        <v>30</v>
      </c>
      <c r="D413" t="s">
        <v>11</v>
      </c>
      <c r="E413" t="s">
        <v>34</v>
      </c>
      <c r="F413" t="s">
        <v>18</v>
      </c>
      <c r="G413" t="s">
        <v>19</v>
      </c>
      <c r="H413">
        <v>117.01</v>
      </c>
      <c r="I413">
        <v>7</v>
      </c>
      <c r="J413">
        <v>819.07</v>
      </c>
    </row>
    <row r="414" spans="1:10" x14ac:dyDescent="0.3">
      <c r="A414">
        <v>413</v>
      </c>
      <c r="B414" s="1">
        <v>45952</v>
      </c>
      <c r="C414" t="s">
        <v>28</v>
      </c>
      <c r="D414" t="s">
        <v>37</v>
      </c>
      <c r="E414" t="s">
        <v>32</v>
      </c>
      <c r="F414" t="s">
        <v>13</v>
      </c>
      <c r="G414" t="s">
        <v>14</v>
      </c>
      <c r="H414">
        <v>102.35</v>
      </c>
      <c r="I414">
        <v>25</v>
      </c>
      <c r="J414">
        <v>2558.75</v>
      </c>
    </row>
    <row r="415" spans="1:10" x14ac:dyDescent="0.3">
      <c r="A415">
        <v>414</v>
      </c>
      <c r="B415" s="1">
        <v>45820</v>
      </c>
      <c r="C415" t="s">
        <v>28</v>
      </c>
      <c r="D415" t="s">
        <v>40</v>
      </c>
      <c r="E415" t="s">
        <v>24</v>
      </c>
      <c r="F415" t="s">
        <v>13</v>
      </c>
      <c r="G415" t="s">
        <v>14</v>
      </c>
      <c r="H415">
        <v>97.71</v>
      </c>
      <c r="I415">
        <v>45</v>
      </c>
      <c r="J415">
        <v>4396.95</v>
      </c>
    </row>
    <row r="416" spans="1:10" x14ac:dyDescent="0.3">
      <c r="A416">
        <v>415</v>
      </c>
      <c r="B416" s="1">
        <v>45754</v>
      </c>
      <c r="C416" t="s">
        <v>10</v>
      </c>
      <c r="D416" t="s">
        <v>37</v>
      </c>
      <c r="E416" t="s">
        <v>39</v>
      </c>
      <c r="F416" t="s">
        <v>18</v>
      </c>
      <c r="G416" t="s">
        <v>19</v>
      </c>
      <c r="H416">
        <v>101.22</v>
      </c>
      <c r="I416">
        <v>32</v>
      </c>
      <c r="J416">
        <v>3239.04</v>
      </c>
    </row>
    <row r="417" spans="1:10" x14ac:dyDescent="0.3">
      <c r="A417">
        <v>416</v>
      </c>
      <c r="B417" s="1">
        <v>45686</v>
      </c>
      <c r="C417" t="s">
        <v>20</v>
      </c>
      <c r="D417" t="s">
        <v>38</v>
      </c>
      <c r="E417" t="s">
        <v>17</v>
      </c>
      <c r="F417" t="s">
        <v>25</v>
      </c>
      <c r="G417" t="s">
        <v>14</v>
      </c>
      <c r="H417">
        <v>31.75</v>
      </c>
      <c r="I417">
        <v>15</v>
      </c>
      <c r="J417">
        <v>476.25</v>
      </c>
    </row>
    <row r="418" spans="1:10" x14ac:dyDescent="0.3">
      <c r="A418">
        <v>417</v>
      </c>
      <c r="B418" s="1">
        <v>45761</v>
      </c>
      <c r="C418" t="s">
        <v>23</v>
      </c>
      <c r="D418" t="s">
        <v>31</v>
      </c>
      <c r="E418" t="s">
        <v>17</v>
      </c>
      <c r="F418" t="s">
        <v>18</v>
      </c>
      <c r="G418" t="s">
        <v>19</v>
      </c>
      <c r="H418">
        <v>97.74</v>
      </c>
      <c r="I418">
        <v>22</v>
      </c>
      <c r="J418">
        <v>2150.2800000000002</v>
      </c>
    </row>
    <row r="419" spans="1:10" x14ac:dyDescent="0.3">
      <c r="A419">
        <v>418</v>
      </c>
      <c r="B419" s="1">
        <v>45958</v>
      </c>
      <c r="C419" t="s">
        <v>15</v>
      </c>
      <c r="D419" t="s">
        <v>31</v>
      </c>
      <c r="E419" t="s">
        <v>29</v>
      </c>
      <c r="F419" t="s">
        <v>25</v>
      </c>
      <c r="G419" t="s">
        <v>14</v>
      </c>
      <c r="H419">
        <v>86.04</v>
      </c>
      <c r="I419">
        <v>10</v>
      </c>
      <c r="J419">
        <v>860.4</v>
      </c>
    </row>
    <row r="420" spans="1:10" x14ac:dyDescent="0.3">
      <c r="A420">
        <v>419</v>
      </c>
      <c r="B420" s="1">
        <v>45997</v>
      </c>
      <c r="C420" t="s">
        <v>28</v>
      </c>
      <c r="D420" t="s">
        <v>36</v>
      </c>
      <c r="E420" t="s">
        <v>24</v>
      </c>
      <c r="F420" t="s">
        <v>13</v>
      </c>
      <c r="G420" t="s">
        <v>19</v>
      </c>
      <c r="H420">
        <v>50.49</v>
      </c>
      <c r="I420">
        <v>7</v>
      </c>
      <c r="J420">
        <v>353.43</v>
      </c>
    </row>
    <row r="421" spans="1:10" x14ac:dyDescent="0.3">
      <c r="A421">
        <v>420</v>
      </c>
      <c r="B421" s="1">
        <v>45881</v>
      </c>
      <c r="C421" t="s">
        <v>28</v>
      </c>
      <c r="D421" t="s">
        <v>37</v>
      </c>
      <c r="E421" t="s">
        <v>24</v>
      </c>
      <c r="F421" t="s">
        <v>13</v>
      </c>
      <c r="G421" t="s">
        <v>14</v>
      </c>
      <c r="H421">
        <v>96.06</v>
      </c>
      <c r="I421">
        <v>32</v>
      </c>
      <c r="J421">
        <v>3073.92</v>
      </c>
    </row>
    <row r="422" spans="1:10" x14ac:dyDescent="0.3">
      <c r="A422">
        <v>421</v>
      </c>
      <c r="B422" s="1">
        <v>45959</v>
      </c>
      <c r="C422" t="s">
        <v>10</v>
      </c>
      <c r="D422" t="s">
        <v>36</v>
      </c>
      <c r="E422" t="s">
        <v>32</v>
      </c>
      <c r="F422" t="s">
        <v>13</v>
      </c>
      <c r="G422" t="s">
        <v>14</v>
      </c>
      <c r="H422">
        <v>98.66</v>
      </c>
      <c r="I422">
        <v>25</v>
      </c>
      <c r="J422">
        <v>2466.5</v>
      </c>
    </row>
    <row r="423" spans="1:10" x14ac:dyDescent="0.3">
      <c r="A423">
        <v>422</v>
      </c>
      <c r="B423" s="1">
        <v>45658</v>
      </c>
      <c r="C423" t="s">
        <v>35</v>
      </c>
      <c r="D423" t="s">
        <v>40</v>
      </c>
      <c r="E423" t="s">
        <v>32</v>
      </c>
      <c r="F423" t="s">
        <v>25</v>
      </c>
      <c r="G423" t="s">
        <v>14</v>
      </c>
      <c r="H423">
        <v>114.11</v>
      </c>
      <c r="I423">
        <v>37</v>
      </c>
      <c r="J423">
        <v>4222.07</v>
      </c>
    </row>
    <row r="424" spans="1:10" x14ac:dyDescent="0.3">
      <c r="A424">
        <v>423</v>
      </c>
      <c r="B424" s="1">
        <v>45771</v>
      </c>
      <c r="C424" t="s">
        <v>27</v>
      </c>
      <c r="D424" t="s">
        <v>37</v>
      </c>
      <c r="E424" t="s">
        <v>24</v>
      </c>
      <c r="F424" t="s">
        <v>18</v>
      </c>
      <c r="G424" t="s">
        <v>19</v>
      </c>
      <c r="H424">
        <v>78.56</v>
      </c>
      <c r="I424">
        <v>7</v>
      </c>
      <c r="J424">
        <v>549.91999999999996</v>
      </c>
    </row>
    <row r="425" spans="1:10" x14ac:dyDescent="0.3">
      <c r="A425">
        <v>424</v>
      </c>
      <c r="B425" s="1">
        <v>45835</v>
      </c>
      <c r="C425" t="s">
        <v>15</v>
      </c>
      <c r="D425" t="s">
        <v>31</v>
      </c>
      <c r="E425" t="s">
        <v>39</v>
      </c>
      <c r="F425" t="s">
        <v>18</v>
      </c>
      <c r="G425" t="s">
        <v>22</v>
      </c>
      <c r="H425">
        <v>117.97</v>
      </c>
      <c r="I425">
        <v>11</v>
      </c>
      <c r="J425">
        <v>1297.67</v>
      </c>
    </row>
    <row r="426" spans="1:10" x14ac:dyDescent="0.3">
      <c r="A426">
        <v>425</v>
      </c>
      <c r="B426" s="1">
        <v>45765</v>
      </c>
      <c r="C426" t="s">
        <v>28</v>
      </c>
      <c r="D426" t="s">
        <v>36</v>
      </c>
      <c r="E426" t="s">
        <v>29</v>
      </c>
      <c r="F426" t="s">
        <v>18</v>
      </c>
      <c r="G426" t="s">
        <v>19</v>
      </c>
      <c r="H426">
        <v>33.700000000000003</v>
      </c>
      <c r="I426">
        <v>5</v>
      </c>
      <c r="J426">
        <v>168.5</v>
      </c>
    </row>
    <row r="427" spans="1:10" x14ac:dyDescent="0.3">
      <c r="A427">
        <v>426</v>
      </c>
      <c r="B427" s="1">
        <v>45855</v>
      </c>
      <c r="C427" t="s">
        <v>23</v>
      </c>
      <c r="D427" t="s">
        <v>16</v>
      </c>
      <c r="E427" t="s">
        <v>39</v>
      </c>
      <c r="F427" t="s">
        <v>33</v>
      </c>
      <c r="G427" t="s">
        <v>22</v>
      </c>
      <c r="H427">
        <v>55.4</v>
      </c>
      <c r="I427">
        <v>27</v>
      </c>
      <c r="J427">
        <v>1495.8</v>
      </c>
    </row>
    <row r="428" spans="1:10" x14ac:dyDescent="0.3">
      <c r="A428">
        <v>427</v>
      </c>
      <c r="B428" s="1">
        <v>45937</v>
      </c>
      <c r="C428" t="s">
        <v>30</v>
      </c>
      <c r="D428" t="s">
        <v>37</v>
      </c>
      <c r="E428" t="s">
        <v>39</v>
      </c>
      <c r="F428" t="s">
        <v>18</v>
      </c>
      <c r="G428" t="s">
        <v>19</v>
      </c>
      <c r="H428">
        <v>48.16</v>
      </c>
      <c r="I428">
        <v>31</v>
      </c>
      <c r="J428">
        <v>1492.96</v>
      </c>
    </row>
    <row r="429" spans="1:10" x14ac:dyDescent="0.3">
      <c r="A429">
        <v>428</v>
      </c>
      <c r="B429" s="1">
        <v>45808</v>
      </c>
      <c r="C429" t="s">
        <v>15</v>
      </c>
      <c r="D429" t="s">
        <v>26</v>
      </c>
      <c r="E429" t="s">
        <v>24</v>
      </c>
      <c r="F429" t="s">
        <v>13</v>
      </c>
      <c r="G429" t="s">
        <v>22</v>
      </c>
      <c r="H429">
        <v>7.31</v>
      </c>
      <c r="I429">
        <v>17</v>
      </c>
      <c r="J429">
        <v>124.27</v>
      </c>
    </row>
    <row r="430" spans="1:10" x14ac:dyDescent="0.3">
      <c r="A430">
        <v>429</v>
      </c>
      <c r="B430" s="1">
        <v>45740</v>
      </c>
      <c r="C430" t="s">
        <v>15</v>
      </c>
      <c r="D430" t="s">
        <v>31</v>
      </c>
      <c r="E430" t="s">
        <v>39</v>
      </c>
      <c r="F430" t="s">
        <v>18</v>
      </c>
      <c r="G430" t="s">
        <v>22</v>
      </c>
      <c r="H430">
        <v>89.18</v>
      </c>
      <c r="I430">
        <v>36</v>
      </c>
      <c r="J430">
        <v>3210.48</v>
      </c>
    </row>
    <row r="431" spans="1:10" x14ac:dyDescent="0.3">
      <c r="A431">
        <v>430</v>
      </c>
      <c r="B431" s="1">
        <v>45992</v>
      </c>
      <c r="C431" t="s">
        <v>23</v>
      </c>
      <c r="D431" t="s">
        <v>40</v>
      </c>
      <c r="E431" t="s">
        <v>29</v>
      </c>
      <c r="F431" t="s">
        <v>25</v>
      </c>
      <c r="G431" t="s">
        <v>19</v>
      </c>
      <c r="H431">
        <v>23.97</v>
      </c>
      <c r="I431">
        <v>28</v>
      </c>
      <c r="J431">
        <v>671.16</v>
      </c>
    </row>
    <row r="432" spans="1:10" x14ac:dyDescent="0.3">
      <c r="A432">
        <v>431</v>
      </c>
      <c r="B432" s="1">
        <v>45755</v>
      </c>
      <c r="C432" t="s">
        <v>10</v>
      </c>
      <c r="D432" t="s">
        <v>36</v>
      </c>
      <c r="E432" t="s">
        <v>34</v>
      </c>
      <c r="F432" t="s">
        <v>13</v>
      </c>
      <c r="G432" t="s">
        <v>19</v>
      </c>
      <c r="H432">
        <v>52.07</v>
      </c>
      <c r="I432">
        <v>36</v>
      </c>
      <c r="J432">
        <v>1874.52</v>
      </c>
    </row>
    <row r="433" spans="1:10" x14ac:dyDescent="0.3">
      <c r="A433">
        <v>432</v>
      </c>
      <c r="B433" s="1">
        <v>45683</v>
      </c>
      <c r="C433" t="s">
        <v>27</v>
      </c>
      <c r="D433" t="s">
        <v>37</v>
      </c>
      <c r="E433" t="s">
        <v>17</v>
      </c>
      <c r="F433" t="s">
        <v>25</v>
      </c>
      <c r="G433" t="s">
        <v>19</v>
      </c>
      <c r="H433">
        <v>50.18</v>
      </c>
      <c r="I433">
        <v>36</v>
      </c>
      <c r="J433">
        <v>1806.48</v>
      </c>
    </row>
    <row r="434" spans="1:10" x14ac:dyDescent="0.3">
      <c r="A434">
        <v>433</v>
      </c>
      <c r="B434" s="1">
        <v>45876</v>
      </c>
      <c r="C434" t="s">
        <v>27</v>
      </c>
      <c r="D434" t="s">
        <v>11</v>
      </c>
      <c r="E434" t="s">
        <v>29</v>
      </c>
      <c r="F434" t="s">
        <v>18</v>
      </c>
      <c r="G434" t="s">
        <v>19</v>
      </c>
      <c r="H434">
        <v>15.08</v>
      </c>
      <c r="I434">
        <v>43</v>
      </c>
      <c r="J434">
        <v>648.44000000000005</v>
      </c>
    </row>
    <row r="435" spans="1:10" x14ac:dyDescent="0.3">
      <c r="A435">
        <v>434</v>
      </c>
      <c r="B435" s="1">
        <v>45745</v>
      </c>
      <c r="C435" t="s">
        <v>27</v>
      </c>
      <c r="D435" t="s">
        <v>26</v>
      </c>
      <c r="E435" t="s">
        <v>34</v>
      </c>
      <c r="F435" t="s">
        <v>33</v>
      </c>
      <c r="G435" t="s">
        <v>22</v>
      </c>
      <c r="H435">
        <v>78.39</v>
      </c>
      <c r="I435">
        <v>6</v>
      </c>
      <c r="J435">
        <v>470.34</v>
      </c>
    </row>
    <row r="436" spans="1:10" x14ac:dyDescent="0.3">
      <c r="A436">
        <v>435</v>
      </c>
      <c r="B436" s="1">
        <v>45908</v>
      </c>
      <c r="C436" t="s">
        <v>15</v>
      </c>
      <c r="D436" t="s">
        <v>16</v>
      </c>
      <c r="E436" t="s">
        <v>32</v>
      </c>
      <c r="F436" t="s">
        <v>25</v>
      </c>
      <c r="G436" t="s">
        <v>22</v>
      </c>
      <c r="H436">
        <v>107.91</v>
      </c>
      <c r="I436">
        <v>17</v>
      </c>
      <c r="J436">
        <v>1834.47</v>
      </c>
    </row>
    <row r="437" spans="1:10" x14ac:dyDescent="0.3">
      <c r="A437">
        <v>436</v>
      </c>
      <c r="B437" s="1">
        <v>45847</v>
      </c>
      <c r="C437" t="s">
        <v>10</v>
      </c>
      <c r="D437" t="s">
        <v>38</v>
      </c>
      <c r="E437" t="s">
        <v>39</v>
      </c>
      <c r="F437" t="s">
        <v>25</v>
      </c>
      <c r="G437" t="s">
        <v>19</v>
      </c>
      <c r="H437">
        <v>26.46</v>
      </c>
      <c r="I437">
        <v>3</v>
      </c>
      <c r="J437">
        <v>79.38</v>
      </c>
    </row>
    <row r="438" spans="1:10" x14ac:dyDescent="0.3">
      <c r="A438">
        <v>437</v>
      </c>
      <c r="B438" s="1">
        <v>45795</v>
      </c>
      <c r="C438" t="s">
        <v>15</v>
      </c>
      <c r="D438" t="s">
        <v>26</v>
      </c>
      <c r="E438" t="s">
        <v>24</v>
      </c>
      <c r="F438" t="s">
        <v>33</v>
      </c>
      <c r="G438" t="s">
        <v>14</v>
      </c>
      <c r="H438">
        <v>69.89</v>
      </c>
      <c r="I438">
        <v>10</v>
      </c>
      <c r="J438">
        <v>698.9</v>
      </c>
    </row>
    <row r="439" spans="1:10" x14ac:dyDescent="0.3">
      <c r="A439">
        <v>438</v>
      </c>
      <c r="B439" s="1">
        <v>45774</v>
      </c>
      <c r="C439" t="s">
        <v>35</v>
      </c>
      <c r="D439" t="s">
        <v>38</v>
      </c>
      <c r="E439" t="s">
        <v>12</v>
      </c>
      <c r="F439" t="s">
        <v>33</v>
      </c>
      <c r="G439" t="s">
        <v>22</v>
      </c>
      <c r="H439">
        <v>68.66</v>
      </c>
      <c r="I439">
        <v>25</v>
      </c>
      <c r="J439">
        <v>1716.5</v>
      </c>
    </row>
    <row r="440" spans="1:10" x14ac:dyDescent="0.3">
      <c r="A440">
        <v>439</v>
      </c>
      <c r="B440" s="1">
        <v>45698</v>
      </c>
      <c r="C440" t="s">
        <v>20</v>
      </c>
      <c r="D440" t="s">
        <v>37</v>
      </c>
      <c r="E440" t="s">
        <v>29</v>
      </c>
      <c r="F440" t="s">
        <v>33</v>
      </c>
      <c r="G440" t="s">
        <v>19</v>
      </c>
      <c r="H440">
        <v>50.4</v>
      </c>
      <c r="I440">
        <v>46</v>
      </c>
      <c r="J440">
        <v>2318.4</v>
      </c>
    </row>
    <row r="441" spans="1:10" x14ac:dyDescent="0.3">
      <c r="A441">
        <v>440</v>
      </c>
      <c r="B441" s="1">
        <v>45743</v>
      </c>
      <c r="C441" t="s">
        <v>23</v>
      </c>
      <c r="D441" t="s">
        <v>40</v>
      </c>
      <c r="E441" t="s">
        <v>21</v>
      </c>
      <c r="F441" t="s">
        <v>18</v>
      </c>
      <c r="G441" t="s">
        <v>14</v>
      </c>
      <c r="H441">
        <v>116.8</v>
      </c>
      <c r="I441">
        <v>13</v>
      </c>
      <c r="J441">
        <v>1518.4</v>
      </c>
    </row>
    <row r="442" spans="1:10" x14ac:dyDescent="0.3">
      <c r="A442">
        <v>441</v>
      </c>
      <c r="B442" s="1">
        <v>45880</v>
      </c>
      <c r="C442" t="s">
        <v>23</v>
      </c>
      <c r="D442" t="s">
        <v>36</v>
      </c>
      <c r="E442" t="s">
        <v>24</v>
      </c>
      <c r="F442" t="s">
        <v>18</v>
      </c>
      <c r="G442" t="s">
        <v>19</v>
      </c>
      <c r="H442">
        <v>28.22</v>
      </c>
      <c r="I442">
        <v>41</v>
      </c>
      <c r="J442">
        <v>1157.02</v>
      </c>
    </row>
    <row r="443" spans="1:10" x14ac:dyDescent="0.3">
      <c r="A443">
        <v>442</v>
      </c>
      <c r="B443" s="1">
        <v>45856</v>
      </c>
      <c r="C443" t="s">
        <v>28</v>
      </c>
      <c r="D443" t="s">
        <v>36</v>
      </c>
      <c r="E443" t="s">
        <v>39</v>
      </c>
      <c r="F443" t="s">
        <v>18</v>
      </c>
      <c r="G443" t="s">
        <v>14</v>
      </c>
      <c r="H443">
        <v>68.98</v>
      </c>
      <c r="I443">
        <v>36</v>
      </c>
      <c r="J443">
        <v>2483.2800000000002</v>
      </c>
    </row>
    <row r="444" spans="1:10" x14ac:dyDescent="0.3">
      <c r="A444">
        <v>443</v>
      </c>
      <c r="B444" s="1">
        <v>45977</v>
      </c>
      <c r="C444" t="s">
        <v>15</v>
      </c>
      <c r="D444" t="s">
        <v>16</v>
      </c>
      <c r="E444" t="s">
        <v>32</v>
      </c>
      <c r="F444" t="s">
        <v>13</v>
      </c>
      <c r="G444" t="s">
        <v>14</v>
      </c>
      <c r="H444">
        <v>72.569999999999993</v>
      </c>
      <c r="I444">
        <v>27</v>
      </c>
      <c r="J444">
        <v>1959.39</v>
      </c>
    </row>
    <row r="445" spans="1:10" x14ac:dyDescent="0.3">
      <c r="A445">
        <v>444</v>
      </c>
      <c r="B445" s="1">
        <v>45959</v>
      </c>
      <c r="C445" t="s">
        <v>15</v>
      </c>
      <c r="D445" t="s">
        <v>26</v>
      </c>
      <c r="E445" t="s">
        <v>34</v>
      </c>
      <c r="F445" t="s">
        <v>25</v>
      </c>
      <c r="G445" t="s">
        <v>22</v>
      </c>
      <c r="H445">
        <v>72.010000000000005</v>
      </c>
      <c r="I445">
        <v>7</v>
      </c>
      <c r="J445">
        <v>504.07</v>
      </c>
    </row>
    <row r="446" spans="1:10" x14ac:dyDescent="0.3">
      <c r="A446">
        <v>445</v>
      </c>
      <c r="B446" s="1">
        <v>45793</v>
      </c>
      <c r="C446" t="s">
        <v>27</v>
      </c>
      <c r="D446" t="s">
        <v>40</v>
      </c>
      <c r="E446" t="s">
        <v>32</v>
      </c>
      <c r="F446" t="s">
        <v>25</v>
      </c>
      <c r="G446" t="s">
        <v>22</v>
      </c>
      <c r="H446">
        <v>49.05</v>
      </c>
      <c r="I446">
        <v>32</v>
      </c>
      <c r="J446">
        <v>1569.6</v>
      </c>
    </row>
    <row r="447" spans="1:10" x14ac:dyDescent="0.3">
      <c r="A447">
        <v>446</v>
      </c>
      <c r="B447" s="1">
        <v>45731</v>
      </c>
      <c r="C447" t="s">
        <v>35</v>
      </c>
      <c r="D447" t="s">
        <v>40</v>
      </c>
      <c r="E447" t="s">
        <v>21</v>
      </c>
      <c r="F447" t="s">
        <v>25</v>
      </c>
      <c r="G447" t="s">
        <v>14</v>
      </c>
      <c r="H447">
        <v>76.099999999999994</v>
      </c>
      <c r="I447">
        <v>44</v>
      </c>
      <c r="J447">
        <v>3348.4</v>
      </c>
    </row>
    <row r="448" spans="1:10" x14ac:dyDescent="0.3">
      <c r="A448">
        <v>447</v>
      </c>
      <c r="B448" s="1">
        <v>45779</v>
      </c>
      <c r="C448" t="s">
        <v>10</v>
      </c>
      <c r="D448" t="s">
        <v>31</v>
      </c>
      <c r="E448" t="s">
        <v>17</v>
      </c>
      <c r="F448" t="s">
        <v>25</v>
      </c>
      <c r="G448" t="s">
        <v>22</v>
      </c>
      <c r="H448">
        <v>10.67</v>
      </c>
      <c r="I448">
        <v>31</v>
      </c>
      <c r="J448">
        <v>330.77</v>
      </c>
    </row>
    <row r="449" spans="1:10" x14ac:dyDescent="0.3">
      <c r="A449">
        <v>448</v>
      </c>
      <c r="B449" s="1">
        <v>45817</v>
      </c>
      <c r="C449" t="s">
        <v>15</v>
      </c>
      <c r="D449" t="s">
        <v>11</v>
      </c>
      <c r="E449" t="s">
        <v>32</v>
      </c>
      <c r="F449" t="s">
        <v>25</v>
      </c>
      <c r="G449" t="s">
        <v>14</v>
      </c>
      <c r="H449">
        <v>37.24</v>
      </c>
      <c r="I449">
        <v>32</v>
      </c>
      <c r="J449">
        <v>1191.68</v>
      </c>
    </row>
    <row r="450" spans="1:10" x14ac:dyDescent="0.3">
      <c r="A450">
        <v>449</v>
      </c>
      <c r="B450" s="1">
        <v>45884</v>
      </c>
      <c r="C450" t="s">
        <v>10</v>
      </c>
      <c r="D450" t="s">
        <v>16</v>
      </c>
      <c r="E450" t="s">
        <v>29</v>
      </c>
      <c r="F450" t="s">
        <v>13</v>
      </c>
      <c r="G450" t="s">
        <v>22</v>
      </c>
      <c r="H450">
        <v>94.01</v>
      </c>
      <c r="I450">
        <v>21</v>
      </c>
      <c r="J450">
        <v>1974.21</v>
      </c>
    </row>
    <row r="451" spans="1:10" x14ac:dyDescent="0.3">
      <c r="A451">
        <v>450</v>
      </c>
      <c r="B451" s="1">
        <v>45766</v>
      </c>
      <c r="C451" t="s">
        <v>27</v>
      </c>
      <c r="D451" t="s">
        <v>31</v>
      </c>
      <c r="E451" t="s">
        <v>17</v>
      </c>
      <c r="F451" t="s">
        <v>13</v>
      </c>
      <c r="G451" t="s">
        <v>19</v>
      </c>
      <c r="H451">
        <v>110.04</v>
      </c>
      <c r="I451">
        <v>27</v>
      </c>
      <c r="J451">
        <v>2971.08</v>
      </c>
    </row>
    <row r="452" spans="1:10" x14ac:dyDescent="0.3">
      <c r="A452">
        <v>451</v>
      </c>
      <c r="B452" s="1">
        <v>45817</v>
      </c>
      <c r="C452" t="s">
        <v>23</v>
      </c>
      <c r="D452" t="s">
        <v>40</v>
      </c>
      <c r="E452" t="s">
        <v>32</v>
      </c>
      <c r="F452" t="s">
        <v>13</v>
      </c>
      <c r="G452" t="s">
        <v>19</v>
      </c>
      <c r="H452">
        <v>86.6</v>
      </c>
      <c r="I452">
        <v>26</v>
      </c>
      <c r="J452">
        <v>2251.6</v>
      </c>
    </row>
    <row r="453" spans="1:10" x14ac:dyDescent="0.3">
      <c r="A453">
        <v>452</v>
      </c>
      <c r="B453" s="1">
        <v>45687</v>
      </c>
      <c r="C453" t="s">
        <v>20</v>
      </c>
      <c r="D453" t="s">
        <v>31</v>
      </c>
      <c r="E453" t="s">
        <v>12</v>
      </c>
      <c r="F453" t="s">
        <v>25</v>
      </c>
      <c r="G453" t="s">
        <v>22</v>
      </c>
      <c r="H453">
        <v>33.69</v>
      </c>
      <c r="I453">
        <v>30</v>
      </c>
      <c r="J453">
        <v>1010.7</v>
      </c>
    </row>
    <row r="454" spans="1:10" x14ac:dyDescent="0.3">
      <c r="A454">
        <v>453</v>
      </c>
      <c r="B454" s="1">
        <v>45895</v>
      </c>
      <c r="C454" t="s">
        <v>15</v>
      </c>
      <c r="D454" t="s">
        <v>40</v>
      </c>
      <c r="E454" t="s">
        <v>12</v>
      </c>
      <c r="F454" t="s">
        <v>25</v>
      </c>
      <c r="G454" t="s">
        <v>22</v>
      </c>
      <c r="H454">
        <v>63.09</v>
      </c>
      <c r="I454">
        <v>41</v>
      </c>
      <c r="J454">
        <v>2586.69</v>
      </c>
    </row>
    <row r="455" spans="1:10" x14ac:dyDescent="0.3">
      <c r="A455">
        <v>454</v>
      </c>
      <c r="B455" s="1">
        <v>45962</v>
      </c>
      <c r="C455" t="s">
        <v>28</v>
      </c>
      <c r="D455" t="s">
        <v>31</v>
      </c>
      <c r="E455" t="s">
        <v>32</v>
      </c>
      <c r="F455" t="s">
        <v>25</v>
      </c>
      <c r="G455" t="s">
        <v>14</v>
      </c>
      <c r="H455">
        <v>56.3</v>
      </c>
      <c r="I455">
        <v>31</v>
      </c>
      <c r="J455">
        <v>1745.3</v>
      </c>
    </row>
    <row r="456" spans="1:10" x14ac:dyDescent="0.3">
      <c r="A456">
        <v>455</v>
      </c>
      <c r="B456" s="1">
        <v>46010</v>
      </c>
      <c r="C456" t="s">
        <v>35</v>
      </c>
      <c r="D456" t="s">
        <v>40</v>
      </c>
      <c r="E456" t="s">
        <v>32</v>
      </c>
      <c r="F456" t="s">
        <v>13</v>
      </c>
      <c r="G456" t="s">
        <v>19</v>
      </c>
      <c r="H456">
        <v>15.4</v>
      </c>
      <c r="I456">
        <v>2</v>
      </c>
      <c r="J456">
        <v>30.8</v>
      </c>
    </row>
    <row r="457" spans="1:10" x14ac:dyDescent="0.3">
      <c r="A457">
        <v>456</v>
      </c>
      <c r="B457" s="1">
        <v>45989</v>
      </c>
      <c r="C457" t="s">
        <v>10</v>
      </c>
      <c r="D457" t="s">
        <v>16</v>
      </c>
      <c r="E457" t="s">
        <v>17</v>
      </c>
      <c r="F457" t="s">
        <v>18</v>
      </c>
      <c r="G457" t="s">
        <v>22</v>
      </c>
      <c r="H457">
        <v>30.89</v>
      </c>
      <c r="I457">
        <v>14</v>
      </c>
      <c r="J457">
        <v>432.46</v>
      </c>
    </row>
    <row r="458" spans="1:10" x14ac:dyDescent="0.3">
      <c r="A458">
        <v>457</v>
      </c>
      <c r="B458" s="1">
        <v>45725</v>
      </c>
      <c r="C458" t="s">
        <v>20</v>
      </c>
      <c r="D458" t="s">
        <v>11</v>
      </c>
      <c r="E458" t="s">
        <v>34</v>
      </c>
      <c r="F458" t="s">
        <v>25</v>
      </c>
      <c r="G458" t="s">
        <v>14</v>
      </c>
      <c r="H458">
        <v>79.45</v>
      </c>
      <c r="I458">
        <v>39</v>
      </c>
      <c r="J458">
        <v>3098.55</v>
      </c>
    </row>
    <row r="459" spans="1:10" x14ac:dyDescent="0.3">
      <c r="A459">
        <v>458</v>
      </c>
      <c r="B459" s="1">
        <v>46021</v>
      </c>
      <c r="C459" t="s">
        <v>35</v>
      </c>
      <c r="D459" t="s">
        <v>31</v>
      </c>
      <c r="E459" t="s">
        <v>39</v>
      </c>
      <c r="F459" t="s">
        <v>25</v>
      </c>
      <c r="G459" t="s">
        <v>19</v>
      </c>
      <c r="H459">
        <v>78.92</v>
      </c>
      <c r="I459">
        <v>28</v>
      </c>
      <c r="J459">
        <v>2209.7600000000002</v>
      </c>
    </row>
    <row r="460" spans="1:10" x14ac:dyDescent="0.3">
      <c r="A460">
        <v>459</v>
      </c>
      <c r="B460" s="1">
        <v>45896</v>
      </c>
      <c r="C460" t="s">
        <v>35</v>
      </c>
      <c r="D460" t="s">
        <v>26</v>
      </c>
      <c r="E460" t="s">
        <v>17</v>
      </c>
      <c r="F460" t="s">
        <v>25</v>
      </c>
      <c r="G460" t="s">
        <v>14</v>
      </c>
      <c r="H460">
        <v>39.75</v>
      </c>
      <c r="I460">
        <v>34</v>
      </c>
      <c r="J460">
        <v>1351.5</v>
      </c>
    </row>
    <row r="461" spans="1:10" x14ac:dyDescent="0.3">
      <c r="A461">
        <v>460</v>
      </c>
      <c r="B461" s="1">
        <v>45989</v>
      </c>
      <c r="C461" t="s">
        <v>10</v>
      </c>
      <c r="D461" t="s">
        <v>26</v>
      </c>
      <c r="E461" t="s">
        <v>39</v>
      </c>
      <c r="F461" t="s">
        <v>18</v>
      </c>
      <c r="G461" t="s">
        <v>22</v>
      </c>
      <c r="H461">
        <v>73.28</v>
      </c>
      <c r="I461">
        <v>19</v>
      </c>
      <c r="J461">
        <v>1392.32</v>
      </c>
    </row>
    <row r="462" spans="1:10" x14ac:dyDescent="0.3">
      <c r="A462">
        <v>461</v>
      </c>
      <c r="B462" s="1">
        <v>45799</v>
      </c>
      <c r="C462" t="s">
        <v>10</v>
      </c>
      <c r="D462" t="s">
        <v>36</v>
      </c>
      <c r="E462" t="s">
        <v>12</v>
      </c>
      <c r="F462" t="s">
        <v>13</v>
      </c>
      <c r="G462" t="s">
        <v>14</v>
      </c>
      <c r="H462">
        <v>78.67</v>
      </c>
      <c r="I462">
        <v>18</v>
      </c>
      <c r="J462">
        <v>1416.06</v>
      </c>
    </row>
    <row r="463" spans="1:10" x14ac:dyDescent="0.3">
      <c r="A463">
        <v>462</v>
      </c>
      <c r="B463" s="1">
        <v>45781</v>
      </c>
      <c r="C463" t="s">
        <v>35</v>
      </c>
      <c r="D463" t="s">
        <v>31</v>
      </c>
      <c r="E463" t="s">
        <v>32</v>
      </c>
      <c r="F463" t="s">
        <v>18</v>
      </c>
      <c r="G463" t="s">
        <v>14</v>
      </c>
      <c r="H463">
        <v>108.46</v>
      </c>
      <c r="I463">
        <v>39</v>
      </c>
      <c r="J463">
        <v>4229.9399999999996</v>
      </c>
    </row>
    <row r="464" spans="1:10" x14ac:dyDescent="0.3">
      <c r="A464">
        <v>463</v>
      </c>
      <c r="B464" s="1">
        <v>45912</v>
      </c>
      <c r="C464" t="s">
        <v>35</v>
      </c>
      <c r="D464" t="s">
        <v>16</v>
      </c>
      <c r="E464" t="s">
        <v>21</v>
      </c>
      <c r="F464" t="s">
        <v>18</v>
      </c>
      <c r="G464" t="s">
        <v>14</v>
      </c>
      <c r="H464">
        <v>119.71</v>
      </c>
      <c r="I464">
        <v>17</v>
      </c>
      <c r="J464">
        <v>2035.07</v>
      </c>
    </row>
    <row r="465" spans="1:10" x14ac:dyDescent="0.3">
      <c r="A465">
        <v>464</v>
      </c>
      <c r="B465" s="1">
        <v>46020</v>
      </c>
      <c r="C465" t="s">
        <v>28</v>
      </c>
      <c r="D465" t="s">
        <v>11</v>
      </c>
      <c r="E465" t="s">
        <v>39</v>
      </c>
      <c r="F465" t="s">
        <v>25</v>
      </c>
      <c r="G465" t="s">
        <v>14</v>
      </c>
      <c r="H465">
        <v>119.4</v>
      </c>
      <c r="I465">
        <v>13</v>
      </c>
      <c r="J465">
        <v>1552.2</v>
      </c>
    </row>
    <row r="466" spans="1:10" x14ac:dyDescent="0.3">
      <c r="A466">
        <v>465</v>
      </c>
      <c r="B466" s="1">
        <v>45811</v>
      </c>
      <c r="C466" t="s">
        <v>23</v>
      </c>
      <c r="D466" t="s">
        <v>36</v>
      </c>
      <c r="E466" t="s">
        <v>29</v>
      </c>
      <c r="F466" t="s">
        <v>33</v>
      </c>
      <c r="G466" t="s">
        <v>19</v>
      </c>
      <c r="H466">
        <v>102.22</v>
      </c>
      <c r="I466">
        <v>43</v>
      </c>
      <c r="J466">
        <v>4395.46</v>
      </c>
    </row>
    <row r="467" spans="1:10" x14ac:dyDescent="0.3">
      <c r="A467">
        <v>466</v>
      </c>
      <c r="B467" s="1">
        <v>45790</v>
      </c>
      <c r="C467" t="s">
        <v>23</v>
      </c>
      <c r="D467" t="s">
        <v>31</v>
      </c>
      <c r="E467" t="s">
        <v>29</v>
      </c>
      <c r="F467" t="s">
        <v>13</v>
      </c>
      <c r="G467" t="s">
        <v>22</v>
      </c>
      <c r="H467">
        <v>88.4</v>
      </c>
      <c r="I467">
        <v>36</v>
      </c>
      <c r="J467">
        <v>3182.4</v>
      </c>
    </row>
    <row r="468" spans="1:10" x14ac:dyDescent="0.3">
      <c r="A468">
        <v>467</v>
      </c>
      <c r="B468" s="1">
        <v>45772</v>
      </c>
      <c r="C468" t="s">
        <v>35</v>
      </c>
      <c r="D468" t="s">
        <v>31</v>
      </c>
      <c r="E468" t="s">
        <v>24</v>
      </c>
      <c r="F468" t="s">
        <v>25</v>
      </c>
      <c r="G468" t="s">
        <v>14</v>
      </c>
      <c r="H468">
        <v>90.58</v>
      </c>
      <c r="I468">
        <v>20</v>
      </c>
      <c r="J468">
        <v>1811.6</v>
      </c>
    </row>
    <row r="469" spans="1:10" x14ac:dyDescent="0.3">
      <c r="A469">
        <v>468</v>
      </c>
      <c r="B469" s="1">
        <v>45808</v>
      </c>
      <c r="C469" t="s">
        <v>27</v>
      </c>
      <c r="D469" t="s">
        <v>40</v>
      </c>
      <c r="E469" t="s">
        <v>29</v>
      </c>
      <c r="F469" t="s">
        <v>33</v>
      </c>
      <c r="G469" t="s">
        <v>19</v>
      </c>
      <c r="H469">
        <v>58.33</v>
      </c>
      <c r="I469">
        <v>8</v>
      </c>
      <c r="J469">
        <v>466.64</v>
      </c>
    </row>
    <row r="470" spans="1:10" x14ac:dyDescent="0.3">
      <c r="A470">
        <v>469</v>
      </c>
      <c r="B470" s="1">
        <v>45914</v>
      </c>
      <c r="C470" t="s">
        <v>35</v>
      </c>
      <c r="D470" t="s">
        <v>36</v>
      </c>
      <c r="E470" t="s">
        <v>21</v>
      </c>
      <c r="F470" t="s">
        <v>18</v>
      </c>
      <c r="G470" t="s">
        <v>19</v>
      </c>
      <c r="H470">
        <v>18.78</v>
      </c>
      <c r="I470">
        <v>44</v>
      </c>
      <c r="J470">
        <v>826.32</v>
      </c>
    </row>
    <row r="471" spans="1:10" x14ac:dyDescent="0.3">
      <c r="A471">
        <v>470</v>
      </c>
      <c r="B471" s="1">
        <v>45728</v>
      </c>
      <c r="C471" t="s">
        <v>35</v>
      </c>
      <c r="D471" t="s">
        <v>38</v>
      </c>
      <c r="E471" t="s">
        <v>32</v>
      </c>
      <c r="F471" t="s">
        <v>25</v>
      </c>
      <c r="G471" t="s">
        <v>14</v>
      </c>
      <c r="H471">
        <v>119.12</v>
      </c>
      <c r="I471">
        <v>22</v>
      </c>
      <c r="J471">
        <v>2620.64</v>
      </c>
    </row>
    <row r="472" spans="1:10" x14ac:dyDescent="0.3">
      <c r="A472">
        <v>471</v>
      </c>
      <c r="B472" s="1">
        <v>45750</v>
      </c>
      <c r="C472" t="s">
        <v>28</v>
      </c>
      <c r="D472" t="s">
        <v>37</v>
      </c>
      <c r="E472" t="s">
        <v>24</v>
      </c>
      <c r="F472" t="s">
        <v>18</v>
      </c>
      <c r="G472" t="s">
        <v>19</v>
      </c>
      <c r="H472">
        <v>94.58</v>
      </c>
      <c r="I472">
        <v>32</v>
      </c>
      <c r="J472">
        <v>3026.56</v>
      </c>
    </row>
    <row r="473" spans="1:10" x14ac:dyDescent="0.3">
      <c r="A473">
        <v>472</v>
      </c>
      <c r="B473" s="1">
        <v>45889</v>
      </c>
      <c r="C473" t="s">
        <v>23</v>
      </c>
      <c r="D473" t="s">
        <v>37</v>
      </c>
      <c r="E473" t="s">
        <v>39</v>
      </c>
      <c r="F473" t="s">
        <v>18</v>
      </c>
      <c r="G473" t="s">
        <v>19</v>
      </c>
      <c r="H473">
        <v>36.46</v>
      </c>
      <c r="I473">
        <v>49</v>
      </c>
      <c r="J473">
        <v>1786.54</v>
      </c>
    </row>
    <row r="474" spans="1:10" x14ac:dyDescent="0.3">
      <c r="A474">
        <v>473</v>
      </c>
      <c r="B474" s="1">
        <v>45972</v>
      </c>
      <c r="C474" t="s">
        <v>35</v>
      </c>
      <c r="D474" t="s">
        <v>16</v>
      </c>
      <c r="E474" t="s">
        <v>39</v>
      </c>
      <c r="F474" t="s">
        <v>33</v>
      </c>
      <c r="G474" t="s">
        <v>19</v>
      </c>
      <c r="H474">
        <v>54.88</v>
      </c>
      <c r="I474">
        <v>28</v>
      </c>
      <c r="J474">
        <v>1536.64</v>
      </c>
    </row>
    <row r="475" spans="1:10" x14ac:dyDescent="0.3">
      <c r="A475">
        <v>474</v>
      </c>
      <c r="B475" s="1">
        <v>45677</v>
      </c>
      <c r="C475" t="s">
        <v>28</v>
      </c>
      <c r="D475" t="s">
        <v>40</v>
      </c>
      <c r="E475" t="s">
        <v>24</v>
      </c>
      <c r="F475" t="s">
        <v>13</v>
      </c>
      <c r="G475" t="s">
        <v>19</v>
      </c>
      <c r="H475">
        <v>66.38</v>
      </c>
      <c r="I475">
        <v>47</v>
      </c>
      <c r="J475">
        <v>3119.86</v>
      </c>
    </row>
    <row r="476" spans="1:10" x14ac:dyDescent="0.3">
      <c r="A476">
        <v>475</v>
      </c>
      <c r="B476" s="1">
        <v>46004</v>
      </c>
      <c r="C476" t="s">
        <v>30</v>
      </c>
      <c r="D476" t="s">
        <v>11</v>
      </c>
      <c r="E476" t="s">
        <v>24</v>
      </c>
      <c r="F476" t="s">
        <v>25</v>
      </c>
      <c r="G476" t="s">
        <v>19</v>
      </c>
      <c r="H476">
        <v>5.47</v>
      </c>
      <c r="I476">
        <v>47</v>
      </c>
      <c r="J476">
        <v>257.08999999999997</v>
      </c>
    </row>
    <row r="477" spans="1:10" x14ac:dyDescent="0.3">
      <c r="A477">
        <v>476</v>
      </c>
      <c r="B477" s="1">
        <v>45710</v>
      </c>
      <c r="C477" t="s">
        <v>10</v>
      </c>
      <c r="D477" t="s">
        <v>37</v>
      </c>
      <c r="E477" t="s">
        <v>29</v>
      </c>
      <c r="F477" t="s">
        <v>18</v>
      </c>
      <c r="G477" t="s">
        <v>22</v>
      </c>
      <c r="H477">
        <v>49.11</v>
      </c>
      <c r="I477">
        <v>38</v>
      </c>
      <c r="J477">
        <v>1866.18</v>
      </c>
    </row>
    <row r="478" spans="1:10" x14ac:dyDescent="0.3">
      <c r="A478">
        <v>477</v>
      </c>
      <c r="B478" s="1">
        <v>45806</v>
      </c>
      <c r="C478" t="s">
        <v>28</v>
      </c>
      <c r="D478" t="s">
        <v>16</v>
      </c>
      <c r="E478" t="s">
        <v>32</v>
      </c>
      <c r="F478" t="s">
        <v>25</v>
      </c>
      <c r="G478" t="s">
        <v>22</v>
      </c>
      <c r="H478">
        <v>57.43</v>
      </c>
      <c r="I478">
        <v>34</v>
      </c>
      <c r="J478">
        <v>1952.62</v>
      </c>
    </row>
    <row r="479" spans="1:10" x14ac:dyDescent="0.3">
      <c r="A479">
        <v>478</v>
      </c>
      <c r="B479" s="1">
        <v>45841</v>
      </c>
      <c r="C479" t="s">
        <v>35</v>
      </c>
      <c r="D479" t="s">
        <v>40</v>
      </c>
      <c r="E479" t="s">
        <v>12</v>
      </c>
      <c r="F479" t="s">
        <v>13</v>
      </c>
      <c r="G479" t="s">
        <v>14</v>
      </c>
      <c r="H479">
        <v>91.26</v>
      </c>
      <c r="I479">
        <v>11</v>
      </c>
      <c r="J479">
        <v>1003.86</v>
      </c>
    </row>
    <row r="480" spans="1:10" x14ac:dyDescent="0.3">
      <c r="A480">
        <v>479</v>
      </c>
      <c r="B480" s="1">
        <v>45725</v>
      </c>
      <c r="C480" t="s">
        <v>23</v>
      </c>
      <c r="D480" t="s">
        <v>26</v>
      </c>
      <c r="E480" t="s">
        <v>24</v>
      </c>
      <c r="F480" t="s">
        <v>18</v>
      </c>
      <c r="G480" t="s">
        <v>22</v>
      </c>
      <c r="H480">
        <v>29.29</v>
      </c>
      <c r="I480">
        <v>2</v>
      </c>
      <c r="J480">
        <v>58.58</v>
      </c>
    </row>
    <row r="481" spans="1:10" x14ac:dyDescent="0.3">
      <c r="A481">
        <v>480</v>
      </c>
      <c r="B481" s="1">
        <v>45985</v>
      </c>
      <c r="C481" t="s">
        <v>20</v>
      </c>
      <c r="D481" t="s">
        <v>40</v>
      </c>
      <c r="E481" t="s">
        <v>29</v>
      </c>
      <c r="F481" t="s">
        <v>18</v>
      </c>
      <c r="G481" t="s">
        <v>19</v>
      </c>
      <c r="H481">
        <v>34.42</v>
      </c>
      <c r="I481">
        <v>35</v>
      </c>
      <c r="J481">
        <v>1204.7</v>
      </c>
    </row>
    <row r="482" spans="1:10" x14ac:dyDescent="0.3">
      <c r="A482">
        <v>481</v>
      </c>
      <c r="B482" s="1">
        <v>46011</v>
      </c>
      <c r="C482" t="s">
        <v>35</v>
      </c>
      <c r="D482" t="s">
        <v>26</v>
      </c>
      <c r="E482" t="s">
        <v>34</v>
      </c>
      <c r="F482" t="s">
        <v>33</v>
      </c>
      <c r="G482" t="s">
        <v>14</v>
      </c>
      <c r="H482">
        <v>18.32</v>
      </c>
      <c r="I482">
        <v>29</v>
      </c>
      <c r="J482">
        <v>531.28</v>
      </c>
    </row>
    <row r="483" spans="1:10" x14ac:dyDescent="0.3">
      <c r="A483">
        <v>482</v>
      </c>
      <c r="B483" s="1">
        <v>45736</v>
      </c>
      <c r="C483" t="s">
        <v>20</v>
      </c>
      <c r="D483" t="s">
        <v>36</v>
      </c>
      <c r="E483" t="s">
        <v>21</v>
      </c>
      <c r="F483" t="s">
        <v>18</v>
      </c>
      <c r="G483" t="s">
        <v>14</v>
      </c>
      <c r="H483">
        <v>28.63</v>
      </c>
      <c r="I483">
        <v>44</v>
      </c>
      <c r="J483">
        <v>1259.72</v>
      </c>
    </row>
    <row r="484" spans="1:10" x14ac:dyDescent="0.3">
      <c r="A484">
        <v>483</v>
      </c>
      <c r="B484" s="1">
        <v>45924</v>
      </c>
      <c r="C484" t="s">
        <v>23</v>
      </c>
      <c r="D484" t="s">
        <v>16</v>
      </c>
      <c r="E484" t="s">
        <v>29</v>
      </c>
      <c r="F484" t="s">
        <v>18</v>
      </c>
      <c r="G484" t="s">
        <v>22</v>
      </c>
      <c r="H484">
        <v>36.049999999999997</v>
      </c>
      <c r="I484">
        <v>39</v>
      </c>
      <c r="J484">
        <v>1405.95</v>
      </c>
    </row>
    <row r="485" spans="1:10" x14ac:dyDescent="0.3">
      <c r="A485">
        <v>484</v>
      </c>
      <c r="B485" s="1">
        <v>45716</v>
      </c>
      <c r="C485" t="s">
        <v>30</v>
      </c>
      <c r="D485" t="s">
        <v>11</v>
      </c>
      <c r="E485" t="s">
        <v>34</v>
      </c>
      <c r="F485" t="s">
        <v>13</v>
      </c>
      <c r="G485" t="s">
        <v>22</v>
      </c>
      <c r="H485">
        <v>95.25</v>
      </c>
      <c r="I485">
        <v>32</v>
      </c>
      <c r="J485">
        <v>3048</v>
      </c>
    </row>
    <row r="486" spans="1:10" x14ac:dyDescent="0.3">
      <c r="A486">
        <v>485</v>
      </c>
      <c r="B486" s="1">
        <v>46018</v>
      </c>
      <c r="C486" t="s">
        <v>20</v>
      </c>
      <c r="D486" t="s">
        <v>38</v>
      </c>
      <c r="E486" t="s">
        <v>12</v>
      </c>
      <c r="F486" t="s">
        <v>33</v>
      </c>
      <c r="G486" t="s">
        <v>22</v>
      </c>
      <c r="H486">
        <v>52.12</v>
      </c>
      <c r="I486">
        <v>11</v>
      </c>
      <c r="J486">
        <v>573.32000000000005</v>
      </c>
    </row>
    <row r="487" spans="1:10" x14ac:dyDescent="0.3">
      <c r="A487">
        <v>486</v>
      </c>
      <c r="B487" s="1">
        <v>45778</v>
      </c>
      <c r="C487" t="s">
        <v>15</v>
      </c>
      <c r="D487" t="s">
        <v>26</v>
      </c>
      <c r="E487" t="s">
        <v>39</v>
      </c>
      <c r="F487" t="s">
        <v>13</v>
      </c>
      <c r="G487" t="s">
        <v>19</v>
      </c>
      <c r="H487">
        <v>5.31</v>
      </c>
      <c r="I487">
        <v>43</v>
      </c>
      <c r="J487">
        <v>228.33</v>
      </c>
    </row>
    <row r="488" spans="1:10" x14ac:dyDescent="0.3">
      <c r="A488">
        <v>487</v>
      </c>
      <c r="B488" s="1">
        <v>45919</v>
      </c>
      <c r="C488" t="s">
        <v>15</v>
      </c>
      <c r="D488" t="s">
        <v>36</v>
      </c>
      <c r="E488" t="s">
        <v>12</v>
      </c>
      <c r="F488" t="s">
        <v>33</v>
      </c>
      <c r="G488" t="s">
        <v>22</v>
      </c>
      <c r="H488">
        <v>13.63</v>
      </c>
      <c r="I488">
        <v>47</v>
      </c>
      <c r="J488">
        <v>640.61</v>
      </c>
    </row>
    <row r="489" spans="1:10" x14ac:dyDescent="0.3">
      <c r="A489">
        <v>488</v>
      </c>
      <c r="B489" s="1">
        <v>45793</v>
      </c>
      <c r="C489" t="s">
        <v>23</v>
      </c>
      <c r="D489" t="s">
        <v>40</v>
      </c>
      <c r="E489" t="s">
        <v>34</v>
      </c>
      <c r="F489" t="s">
        <v>25</v>
      </c>
      <c r="G489" t="s">
        <v>14</v>
      </c>
      <c r="H489">
        <v>58.39</v>
      </c>
      <c r="I489">
        <v>7</v>
      </c>
      <c r="J489">
        <v>408.73</v>
      </c>
    </row>
    <row r="490" spans="1:10" x14ac:dyDescent="0.3">
      <c r="A490">
        <v>489</v>
      </c>
      <c r="B490" s="1">
        <v>45818</v>
      </c>
      <c r="C490" t="s">
        <v>15</v>
      </c>
      <c r="D490" t="s">
        <v>40</v>
      </c>
      <c r="E490" t="s">
        <v>17</v>
      </c>
      <c r="F490" t="s">
        <v>13</v>
      </c>
      <c r="G490" t="s">
        <v>14</v>
      </c>
      <c r="H490">
        <v>53.99</v>
      </c>
      <c r="I490">
        <v>8</v>
      </c>
      <c r="J490">
        <v>431.92</v>
      </c>
    </row>
    <row r="491" spans="1:10" x14ac:dyDescent="0.3">
      <c r="A491">
        <v>490</v>
      </c>
      <c r="B491" s="1">
        <v>45989</v>
      </c>
      <c r="C491" t="s">
        <v>27</v>
      </c>
      <c r="D491" t="s">
        <v>36</v>
      </c>
      <c r="E491" t="s">
        <v>29</v>
      </c>
      <c r="F491" t="s">
        <v>25</v>
      </c>
      <c r="G491" t="s">
        <v>22</v>
      </c>
      <c r="H491">
        <v>24.61</v>
      </c>
      <c r="I491">
        <v>23</v>
      </c>
      <c r="J491">
        <v>566.03</v>
      </c>
    </row>
    <row r="492" spans="1:10" x14ac:dyDescent="0.3">
      <c r="A492">
        <v>491</v>
      </c>
      <c r="B492" s="1">
        <v>45751</v>
      </c>
      <c r="C492" t="s">
        <v>27</v>
      </c>
      <c r="D492" t="s">
        <v>36</v>
      </c>
      <c r="E492" t="s">
        <v>21</v>
      </c>
      <c r="F492" t="s">
        <v>33</v>
      </c>
      <c r="G492" t="s">
        <v>22</v>
      </c>
      <c r="H492">
        <v>18.09</v>
      </c>
      <c r="I492">
        <v>26</v>
      </c>
      <c r="J492">
        <v>470.34</v>
      </c>
    </row>
    <row r="493" spans="1:10" x14ac:dyDescent="0.3">
      <c r="A493">
        <v>492</v>
      </c>
      <c r="B493" s="1">
        <v>45990</v>
      </c>
      <c r="C493" t="s">
        <v>15</v>
      </c>
      <c r="D493" t="s">
        <v>37</v>
      </c>
      <c r="E493" t="s">
        <v>17</v>
      </c>
      <c r="F493" t="s">
        <v>13</v>
      </c>
      <c r="G493" t="s">
        <v>19</v>
      </c>
      <c r="H493">
        <v>106.9</v>
      </c>
      <c r="I493">
        <v>11</v>
      </c>
      <c r="J493">
        <v>1175.9000000000001</v>
      </c>
    </row>
    <row r="494" spans="1:10" x14ac:dyDescent="0.3">
      <c r="A494">
        <v>493</v>
      </c>
      <c r="B494" s="1">
        <v>45871</v>
      </c>
      <c r="C494" t="s">
        <v>27</v>
      </c>
      <c r="D494" t="s">
        <v>37</v>
      </c>
      <c r="E494" t="s">
        <v>21</v>
      </c>
      <c r="F494" t="s">
        <v>25</v>
      </c>
      <c r="G494" t="s">
        <v>14</v>
      </c>
      <c r="H494">
        <v>109.79</v>
      </c>
      <c r="I494">
        <v>31</v>
      </c>
      <c r="J494">
        <v>3403.49</v>
      </c>
    </row>
    <row r="495" spans="1:10" x14ac:dyDescent="0.3">
      <c r="A495">
        <v>494</v>
      </c>
      <c r="B495" s="1">
        <v>45672</v>
      </c>
      <c r="C495" t="s">
        <v>23</v>
      </c>
      <c r="D495" t="s">
        <v>38</v>
      </c>
      <c r="E495" t="s">
        <v>39</v>
      </c>
      <c r="F495" t="s">
        <v>18</v>
      </c>
      <c r="G495" t="s">
        <v>22</v>
      </c>
      <c r="H495">
        <v>104.2</v>
      </c>
      <c r="I495">
        <v>47</v>
      </c>
      <c r="J495">
        <v>4897.3999999999996</v>
      </c>
    </row>
    <row r="496" spans="1:10" x14ac:dyDescent="0.3">
      <c r="A496">
        <v>495</v>
      </c>
      <c r="B496" s="1">
        <v>45883</v>
      </c>
      <c r="C496" t="s">
        <v>28</v>
      </c>
      <c r="D496" t="s">
        <v>40</v>
      </c>
      <c r="E496" t="s">
        <v>12</v>
      </c>
      <c r="F496" t="s">
        <v>25</v>
      </c>
      <c r="G496" t="s">
        <v>14</v>
      </c>
      <c r="H496">
        <v>10.29</v>
      </c>
      <c r="I496">
        <v>17</v>
      </c>
      <c r="J496">
        <v>174.93</v>
      </c>
    </row>
    <row r="497" spans="1:10" x14ac:dyDescent="0.3">
      <c r="A497">
        <v>496</v>
      </c>
      <c r="B497" s="1">
        <v>45925</v>
      </c>
      <c r="C497" t="s">
        <v>15</v>
      </c>
      <c r="D497" t="s">
        <v>16</v>
      </c>
      <c r="E497" t="s">
        <v>12</v>
      </c>
      <c r="F497" t="s">
        <v>33</v>
      </c>
      <c r="G497" t="s">
        <v>22</v>
      </c>
      <c r="H497">
        <v>84.15</v>
      </c>
      <c r="I497">
        <v>40</v>
      </c>
      <c r="J497">
        <v>3366</v>
      </c>
    </row>
    <row r="498" spans="1:10" x14ac:dyDescent="0.3">
      <c r="A498">
        <v>497</v>
      </c>
      <c r="B498" s="1">
        <v>45997</v>
      </c>
      <c r="C498" t="s">
        <v>23</v>
      </c>
      <c r="D498" t="s">
        <v>40</v>
      </c>
      <c r="E498" t="s">
        <v>17</v>
      </c>
      <c r="F498" t="s">
        <v>13</v>
      </c>
      <c r="G498" t="s">
        <v>14</v>
      </c>
      <c r="H498">
        <v>82.77</v>
      </c>
      <c r="I498">
        <v>25</v>
      </c>
      <c r="J498">
        <v>2069.25</v>
      </c>
    </row>
    <row r="499" spans="1:10" x14ac:dyDescent="0.3">
      <c r="A499">
        <v>498</v>
      </c>
      <c r="B499" s="1">
        <v>45898</v>
      </c>
      <c r="C499" t="s">
        <v>15</v>
      </c>
      <c r="D499" t="s">
        <v>38</v>
      </c>
      <c r="E499" t="s">
        <v>24</v>
      </c>
      <c r="F499" t="s">
        <v>13</v>
      </c>
      <c r="G499" t="s">
        <v>22</v>
      </c>
      <c r="H499">
        <v>102.97</v>
      </c>
      <c r="I499">
        <v>11</v>
      </c>
      <c r="J499">
        <v>1132.67</v>
      </c>
    </row>
    <row r="500" spans="1:10" x14ac:dyDescent="0.3">
      <c r="A500">
        <v>499</v>
      </c>
      <c r="B500" s="1">
        <v>45800</v>
      </c>
      <c r="C500" t="s">
        <v>35</v>
      </c>
      <c r="D500" t="s">
        <v>16</v>
      </c>
      <c r="E500" t="s">
        <v>12</v>
      </c>
      <c r="F500" t="s">
        <v>18</v>
      </c>
      <c r="G500" t="s">
        <v>22</v>
      </c>
      <c r="H500">
        <v>10.79</v>
      </c>
      <c r="I500">
        <v>15</v>
      </c>
      <c r="J500">
        <v>161.85</v>
      </c>
    </row>
    <row r="501" spans="1:10" x14ac:dyDescent="0.3">
      <c r="A501">
        <v>500</v>
      </c>
      <c r="B501" s="1">
        <v>45885</v>
      </c>
      <c r="C501" t="s">
        <v>15</v>
      </c>
      <c r="D501" t="s">
        <v>38</v>
      </c>
      <c r="E501" t="s">
        <v>39</v>
      </c>
      <c r="F501" t="s">
        <v>25</v>
      </c>
      <c r="G501" t="s">
        <v>19</v>
      </c>
      <c r="H501">
        <v>97.15</v>
      </c>
      <c r="I501">
        <v>29</v>
      </c>
      <c r="J501">
        <v>2817.35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AA018-A42C-4D7A-9538-2F09AF48F3CC}">
  <dimension ref="A1"/>
  <sheetViews>
    <sheetView topLeftCell="A7" zoomScale="42" zoomScaleNormal="42" workbookViewId="0">
      <selection activeCell="AM44" sqref="AM44"/>
    </sheetView>
  </sheetViews>
  <sheetFormatPr defaultRowHeight="14.4" x14ac:dyDescent="0.3"/>
  <cols>
    <col min="2" max="2" width="9.109375" customWidth="1"/>
  </cols>
  <sheetData/>
  <pageMargins left="0.25" right="0.25" top="0.75" bottom="0.75" header="0.3" footer="0.3"/>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4871F-136C-4EFC-8711-6A44C8B4C041}">
  <dimension ref="AM26"/>
  <sheetViews>
    <sheetView topLeftCell="A2" zoomScale="55" workbookViewId="0">
      <selection activeCell="C61" sqref="C61"/>
    </sheetView>
  </sheetViews>
  <sheetFormatPr defaultRowHeight="14.4" x14ac:dyDescent="0.3"/>
  <cols>
    <col min="6" max="6" width="9.109375" customWidth="1"/>
  </cols>
  <sheetData>
    <row r="26" spans="39:39" x14ac:dyDescent="0.3">
      <c r="AM26" t="s">
        <v>41</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D097C-1EC9-4BF5-B10C-9CE04F0ACCAB}">
  <dimension ref="AH26:AM103"/>
  <sheetViews>
    <sheetView topLeftCell="A8" zoomScale="50" zoomScaleNormal="40" workbookViewId="0">
      <selection activeCell="S86" sqref="S86"/>
    </sheetView>
  </sheetViews>
  <sheetFormatPr defaultRowHeight="14.4" x14ac:dyDescent="0.3"/>
  <cols>
    <col min="6" max="6" width="9.109375" customWidth="1"/>
  </cols>
  <sheetData>
    <row r="26" spans="39:39" x14ac:dyDescent="0.3">
      <c r="AM26" t="s">
        <v>41</v>
      </c>
    </row>
    <row r="103" spans="34:34" x14ac:dyDescent="0.3">
      <c r="AH103" t="s">
        <v>80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2E067-C782-4A03-9A49-46BEB3C79065}">
  <dimension ref="A1"/>
  <sheetViews>
    <sheetView tabSelected="1" topLeftCell="B1" workbookViewId="0">
      <selection activeCell="U63" sqref="U63"/>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vt:lpstr>
      <vt:lpstr>data</vt:lpstr>
      <vt:lpstr>Dashboard</vt:lpstr>
      <vt:lpstr>Product Analysis</vt:lpstr>
      <vt:lpstr>Sales Performance Analysis</vt:lpstr>
      <vt:lpstr>Insights &amp;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UMAYEMA</dc:creator>
  <cp:lastModifiedBy>khanumayema1@outlook.com</cp:lastModifiedBy>
  <cp:lastPrinted>2026-04-13T07:23:26Z</cp:lastPrinted>
  <dcterms:created xsi:type="dcterms:W3CDTF">2026-04-02T14:21:37Z</dcterms:created>
  <dcterms:modified xsi:type="dcterms:W3CDTF">2026-04-13T07:23:57Z</dcterms:modified>
</cp:coreProperties>
</file>